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shanu\Github\module2_assignment\02_spreadsheet\"/>
    </mc:Choice>
  </mc:AlternateContent>
  <xr:revisionPtr revIDLastSave="0" documentId="13_ncr:1_{0DA61460-574D-458F-988C-8F597FE6E457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transactions_raw" sheetId="1" r:id="rId1"/>
    <sheet name="merchant_master" sheetId="2" r:id="rId2"/>
    <sheet name="exchange_rates" sheetId="3" r:id="rId3"/>
  </sheets>
  <definedNames>
    <definedName name="_xlnm._FilterDatabase" localSheetId="0" hidden="1">transactions_raw!$A$1:$O$31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1" l="1"/>
  <c r="T3" i="1"/>
  <c r="S4" i="1"/>
  <c r="T4" i="1"/>
  <c r="S5" i="1"/>
  <c r="T5" i="1"/>
  <c r="S6" i="1"/>
  <c r="T6" i="1"/>
  <c r="S7" i="1"/>
  <c r="T7" i="1"/>
  <c r="S8" i="1"/>
  <c r="T8" i="1"/>
  <c r="S9" i="1"/>
  <c r="T9" i="1"/>
  <c r="S10" i="1"/>
  <c r="T10" i="1"/>
  <c r="S11" i="1"/>
  <c r="T11" i="1"/>
  <c r="S12" i="1"/>
  <c r="T12" i="1"/>
  <c r="S13" i="1"/>
  <c r="T13" i="1"/>
  <c r="S14" i="1"/>
  <c r="T14" i="1"/>
  <c r="S15" i="1"/>
  <c r="T15" i="1"/>
  <c r="S16" i="1"/>
  <c r="T16" i="1"/>
  <c r="S17" i="1"/>
  <c r="T17" i="1"/>
  <c r="S18" i="1"/>
  <c r="T18" i="1"/>
  <c r="S19" i="1"/>
  <c r="T19" i="1"/>
  <c r="S20" i="1"/>
  <c r="T20" i="1"/>
  <c r="S21" i="1"/>
  <c r="T21" i="1"/>
  <c r="S22" i="1"/>
  <c r="T22" i="1"/>
  <c r="S23" i="1"/>
  <c r="T23" i="1"/>
  <c r="S24" i="1"/>
  <c r="T24" i="1"/>
  <c r="S25" i="1"/>
  <c r="T25" i="1"/>
  <c r="S26" i="1"/>
  <c r="T26" i="1"/>
  <c r="S27" i="1"/>
  <c r="T27" i="1"/>
  <c r="S28" i="1"/>
  <c r="T28" i="1"/>
  <c r="S29" i="1"/>
  <c r="T29" i="1"/>
  <c r="S30" i="1"/>
  <c r="T30" i="1"/>
  <c r="S31" i="1"/>
  <c r="T31" i="1"/>
  <c r="T2" i="1"/>
  <c r="S2" i="1"/>
  <c r="Q3" i="1"/>
  <c r="R3" i="1"/>
  <c r="Q4" i="1"/>
  <c r="R4" i="1"/>
  <c r="Q5" i="1"/>
  <c r="R5" i="1"/>
  <c r="Q6" i="1"/>
  <c r="R6" i="1"/>
  <c r="Q7" i="1"/>
  <c r="R7" i="1"/>
  <c r="Q8" i="1"/>
  <c r="R8" i="1"/>
  <c r="Q9" i="1"/>
  <c r="R9" i="1"/>
  <c r="Q10" i="1"/>
  <c r="R10" i="1"/>
  <c r="Q11" i="1"/>
  <c r="R11" i="1"/>
  <c r="Q12" i="1"/>
  <c r="R12" i="1"/>
  <c r="Q13" i="1"/>
  <c r="R13" i="1"/>
  <c r="Q14" i="1"/>
  <c r="R14" i="1"/>
  <c r="Q15" i="1"/>
  <c r="R15" i="1"/>
  <c r="Q16" i="1"/>
  <c r="R16" i="1"/>
  <c r="Q17" i="1"/>
  <c r="R17" i="1"/>
  <c r="Q18" i="1"/>
  <c r="R18" i="1"/>
  <c r="Q19" i="1"/>
  <c r="R19" i="1"/>
  <c r="Q20" i="1"/>
  <c r="R20" i="1"/>
  <c r="Q21" i="1"/>
  <c r="R21" i="1"/>
  <c r="Q22" i="1"/>
  <c r="R22" i="1"/>
  <c r="Q23" i="1"/>
  <c r="R23" i="1"/>
  <c r="Q24" i="1"/>
  <c r="R24" i="1"/>
  <c r="Q25" i="1"/>
  <c r="R25" i="1"/>
  <c r="Q26" i="1"/>
  <c r="R26" i="1"/>
  <c r="Q27" i="1"/>
  <c r="R27" i="1"/>
  <c r="Q28" i="1"/>
  <c r="R28" i="1"/>
  <c r="Q29" i="1"/>
  <c r="R29" i="1"/>
  <c r="Q30" i="1"/>
  <c r="R30" i="1"/>
  <c r="Q31" i="1"/>
  <c r="R31" i="1"/>
  <c r="R2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2" i="1"/>
  <c r="G3" i="1" a="1"/>
  <c r="G3" i="1" s="1"/>
  <c r="G4" i="1" a="1"/>
  <c r="G4" i="1" s="1"/>
  <c r="G5" i="1" a="1"/>
  <c r="G5" i="1" s="1"/>
  <c r="G6" i="1" a="1"/>
  <c r="G6" i="1" s="1"/>
  <c r="G7" i="1" a="1"/>
  <c r="G7" i="1" s="1"/>
  <c r="G8" i="1" a="1"/>
  <c r="G8" i="1" s="1"/>
  <c r="G9" i="1" a="1"/>
  <c r="G9" i="1" s="1"/>
  <c r="G10" i="1" a="1"/>
  <c r="G10" i="1" s="1"/>
  <c r="G11" i="1" a="1"/>
  <c r="G11" i="1" s="1"/>
  <c r="G12" i="1" a="1"/>
  <c r="G12" i="1" s="1"/>
  <c r="G13" i="1" a="1"/>
  <c r="G13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28" i="1" a="1"/>
  <c r="G28" i="1" s="1"/>
  <c r="G29" i="1" a="1"/>
  <c r="G29" i="1" s="1"/>
  <c r="G30" i="1" a="1"/>
  <c r="G30" i="1" s="1"/>
  <c r="G31" i="1" a="1"/>
  <c r="G31" i="1" s="1"/>
  <c r="G2" i="1" a="1"/>
  <c r="G2" i="1" s="1"/>
  <c r="L4" i="1"/>
  <c r="L5" i="1"/>
  <c r="L8" i="1"/>
  <c r="L10" i="1"/>
  <c r="L13" i="1"/>
  <c r="L14" i="1"/>
  <c r="L15" i="1"/>
  <c r="L18" i="1"/>
  <c r="L19" i="1"/>
  <c r="L20" i="1"/>
  <c r="L21" i="1"/>
  <c r="L23" i="1"/>
  <c r="L24" i="1"/>
  <c r="L25" i="1"/>
  <c r="L26" i="1"/>
  <c r="L27" i="1"/>
  <c r="L28" i="1"/>
  <c r="L29" i="1"/>
  <c r="L30" i="1"/>
  <c r="L31" i="1"/>
  <c r="L2" i="1"/>
  <c r="H3" i="1"/>
  <c r="J3" i="1" s="1" a="1"/>
  <c r="J3" i="1" s="1"/>
  <c r="H4" i="1"/>
  <c r="J4" i="1" s="1" a="1"/>
  <c r="J4" i="1" s="1"/>
  <c r="H5" i="1"/>
  <c r="J5" i="1" s="1" a="1"/>
  <c r="J5" i="1" s="1"/>
  <c r="H6" i="1"/>
  <c r="J6" i="1" s="1" a="1"/>
  <c r="J6" i="1" s="1"/>
  <c r="H7" i="1"/>
  <c r="J7" i="1" s="1" a="1"/>
  <c r="J7" i="1" s="1"/>
  <c r="H8" i="1"/>
  <c r="J8" i="1" s="1" a="1"/>
  <c r="J8" i="1" s="1"/>
  <c r="H9" i="1"/>
  <c r="J9" i="1" s="1" a="1"/>
  <c r="J9" i="1" s="1"/>
  <c r="H10" i="1"/>
  <c r="J10" i="1" s="1" a="1"/>
  <c r="J10" i="1" s="1"/>
  <c r="H11" i="1"/>
  <c r="J11" i="1" s="1" a="1"/>
  <c r="J11" i="1" s="1"/>
  <c r="H12" i="1"/>
  <c r="J12" i="1" s="1" a="1"/>
  <c r="J12" i="1" s="1"/>
  <c r="H13" i="1"/>
  <c r="J13" i="1" s="1" a="1"/>
  <c r="J13" i="1" s="1"/>
  <c r="H14" i="1"/>
  <c r="J14" i="1" s="1" a="1"/>
  <c r="J14" i="1" s="1"/>
  <c r="H15" i="1"/>
  <c r="J15" i="1" s="1" a="1"/>
  <c r="J15" i="1" s="1"/>
  <c r="H16" i="1"/>
  <c r="J16" i="1" s="1" a="1"/>
  <c r="J16" i="1" s="1"/>
  <c r="H17" i="1"/>
  <c r="J17" i="1" s="1" a="1"/>
  <c r="J17" i="1" s="1"/>
  <c r="H18" i="1"/>
  <c r="J18" i="1" s="1" a="1"/>
  <c r="J18" i="1" s="1"/>
  <c r="H19" i="1"/>
  <c r="J19" i="1" s="1" a="1"/>
  <c r="J19" i="1" s="1"/>
  <c r="H20" i="1"/>
  <c r="J20" i="1" s="1" a="1"/>
  <c r="J20" i="1" s="1"/>
  <c r="H21" i="1"/>
  <c r="J21" i="1" s="1" a="1"/>
  <c r="J21" i="1" s="1"/>
  <c r="H22" i="1"/>
  <c r="J22" i="1" s="1" a="1"/>
  <c r="J22" i="1" s="1"/>
  <c r="H23" i="1"/>
  <c r="J23" i="1" s="1" a="1"/>
  <c r="J23" i="1" s="1"/>
  <c r="H24" i="1"/>
  <c r="J24" i="1" s="1" a="1"/>
  <c r="J24" i="1" s="1"/>
  <c r="H25" i="1"/>
  <c r="J25" i="1" s="1" a="1"/>
  <c r="J25" i="1" s="1"/>
  <c r="H26" i="1"/>
  <c r="J26" i="1" s="1" a="1"/>
  <c r="J26" i="1" s="1"/>
  <c r="H27" i="1"/>
  <c r="J27" i="1" s="1" a="1"/>
  <c r="J27" i="1" s="1"/>
  <c r="H28" i="1"/>
  <c r="J28" i="1" s="1" a="1"/>
  <c r="J28" i="1" s="1"/>
  <c r="H29" i="1"/>
  <c r="J29" i="1" s="1" a="1"/>
  <c r="J29" i="1" s="1"/>
  <c r="H30" i="1"/>
  <c r="J30" i="1" s="1" a="1"/>
  <c r="J30" i="1" s="1"/>
  <c r="H31" i="1"/>
  <c r="J31" i="1" s="1" a="1"/>
  <c r="J31" i="1" s="1"/>
  <c r="H2" i="1"/>
  <c r="J2" i="1" s="1" a="1"/>
  <c r="J2" i="1" s="1"/>
  <c r="C3" i="1"/>
  <c r="L3" i="1" s="1"/>
  <c r="C4" i="1"/>
  <c r="C5" i="1"/>
  <c r="C6" i="1"/>
  <c r="L6" i="1" s="1"/>
  <c r="C7" i="1"/>
  <c r="L7" i="1" s="1"/>
  <c r="C8" i="1"/>
  <c r="C9" i="1"/>
  <c r="L9" i="1" s="1"/>
  <c r="C10" i="1"/>
  <c r="C11" i="1"/>
  <c r="L11" i="1" s="1"/>
  <c r="C12" i="1"/>
  <c r="L12" i="1" s="1"/>
  <c r="C13" i="1"/>
  <c r="C14" i="1"/>
  <c r="C15" i="1"/>
  <c r="C16" i="1"/>
  <c r="L16" i="1" s="1"/>
  <c r="C17" i="1"/>
  <c r="L17" i="1" s="1"/>
  <c r="C18" i="1"/>
  <c r="C19" i="1"/>
  <c r="C20" i="1"/>
  <c r="C21" i="1"/>
  <c r="C22" i="1"/>
  <c r="L22" i="1" s="1"/>
  <c r="C23" i="1"/>
  <c r="C24" i="1"/>
  <c r="C25" i="1"/>
  <c r="C26" i="1"/>
  <c r="C27" i="1"/>
  <c r="C28" i="1"/>
  <c r="C29" i="1"/>
  <c r="C30" i="1"/>
  <c r="C31" i="1"/>
  <c r="C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<sst xmlns="http://schemas.openxmlformats.org/spreadsheetml/2006/main" count="289" uniqueCount="133">
  <si>
    <t>transaction_id</t>
  </si>
  <si>
    <t>transaction_date</t>
  </si>
  <si>
    <t>merchant_name</t>
  </si>
  <si>
    <t>raw_amount</t>
  </si>
  <si>
    <t>currency</t>
  </si>
  <si>
    <t>status</t>
  </si>
  <si>
    <t>risk_score</t>
  </si>
  <si>
    <t>gateway_region</t>
  </si>
  <si>
    <t>user_id</t>
  </si>
  <si>
    <t>payment_method</t>
  </si>
  <si>
    <t>T001</t>
  </si>
  <si>
    <t xml:space="preserve"> alpha mart </t>
  </si>
  <si>
    <t>INR</t>
  </si>
  <si>
    <t>captured</t>
  </si>
  <si>
    <t>score:62</t>
  </si>
  <si>
    <t>APAC</t>
  </si>
  <si>
    <t>U001</t>
  </si>
  <si>
    <t>UPI</t>
  </si>
  <si>
    <t>T002</t>
  </si>
  <si>
    <t>ALPHA MART</t>
  </si>
  <si>
    <t xml:space="preserve">Captured </t>
  </si>
  <si>
    <t>U002</t>
  </si>
  <si>
    <t>Card</t>
  </si>
  <si>
    <t>T003</t>
  </si>
  <si>
    <t xml:space="preserve">BETA STORES </t>
  </si>
  <si>
    <t xml:space="preserve"> CAPTURED</t>
  </si>
  <si>
    <t xml:space="preserve"> APAC </t>
  </si>
  <si>
    <t>U003</t>
  </si>
  <si>
    <t>NetBanking</t>
  </si>
  <si>
    <t>T004</t>
  </si>
  <si>
    <t>Beta  Stores</t>
  </si>
  <si>
    <t xml:space="preserve"> failed e05 timeout </t>
  </si>
  <si>
    <t>apac</t>
  </si>
  <si>
    <t>U004</t>
  </si>
  <si>
    <t>T005</t>
  </si>
  <si>
    <t>Alpha Mart</t>
  </si>
  <si>
    <t>T006</t>
  </si>
  <si>
    <t>score:64</t>
  </si>
  <si>
    <t>U005</t>
  </si>
  <si>
    <t>Wallet</t>
  </si>
  <si>
    <t>T007</t>
  </si>
  <si>
    <t>Alpha  Mart</t>
  </si>
  <si>
    <t>chargeback</t>
  </si>
  <si>
    <t>risk-83</t>
  </si>
  <si>
    <t>U006</t>
  </si>
  <si>
    <t>T008</t>
  </si>
  <si>
    <t>U007</t>
  </si>
  <si>
    <t>T009</t>
  </si>
  <si>
    <t>T010</t>
  </si>
  <si>
    <t>Beta Stores</t>
  </si>
  <si>
    <t>risk-77</t>
  </si>
  <si>
    <t>T011</t>
  </si>
  <si>
    <t>FAILED e05 TIMEOUT</t>
  </si>
  <si>
    <t>U008</t>
  </si>
  <si>
    <t>T012</t>
  </si>
  <si>
    <t xml:space="preserve">captured </t>
  </si>
  <si>
    <t>risk-61</t>
  </si>
  <si>
    <t>U009</t>
  </si>
  <si>
    <t>T013</t>
  </si>
  <si>
    <t>score:54</t>
  </si>
  <si>
    <t>U010</t>
  </si>
  <si>
    <t>T014</t>
  </si>
  <si>
    <t>risk-73</t>
  </si>
  <si>
    <t>T015</t>
  </si>
  <si>
    <t>score:52</t>
  </si>
  <si>
    <t>T016</t>
  </si>
  <si>
    <t>failed E05 timeout</t>
  </si>
  <si>
    <t>risk-69</t>
  </si>
  <si>
    <t>T017</t>
  </si>
  <si>
    <t>Failed E05 Timeout</t>
  </si>
  <si>
    <t>score:72</t>
  </si>
  <si>
    <t>T018</t>
  </si>
  <si>
    <t xml:space="preserve"> chargeback </t>
  </si>
  <si>
    <t>risk-86</t>
  </si>
  <si>
    <t>T019</t>
  </si>
  <si>
    <t>score:67</t>
  </si>
  <si>
    <t>T020</t>
  </si>
  <si>
    <t>T021</t>
  </si>
  <si>
    <t xml:space="preserve"> beta stores</t>
  </si>
  <si>
    <t>score:63</t>
  </si>
  <si>
    <t>T022</t>
  </si>
  <si>
    <t>T023</t>
  </si>
  <si>
    <t>City Pharma</t>
  </si>
  <si>
    <t>EUR</t>
  </si>
  <si>
    <t xml:space="preserve"> EU </t>
  </si>
  <si>
    <t>T024</t>
  </si>
  <si>
    <t>Eco Home</t>
  </si>
  <si>
    <t>score:65</t>
  </si>
  <si>
    <t>EU</t>
  </si>
  <si>
    <t>T025</t>
  </si>
  <si>
    <t>eu</t>
  </si>
  <si>
    <t>T026</t>
  </si>
  <si>
    <t>T027</t>
  </si>
  <si>
    <t>DELTA TRAVELS</t>
  </si>
  <si>
    <t>USD</t>
  </si>
  <si>
    <t>us</t>
  </si>
  <si>
    <t>T028</t>
  </si>
  <si>
    <t>Delta Travels</t>
  </si>
  <si>
    <t>risk-41</t>
  </si>
  <si>
    <t>US</t>
  </si>
  <si>
    <t>T029</t>
  </si>
  <si>
    <t xml:space="preserve">delta travels </t>
  </si>
  <si>
    <t>score:58</t>
  </si>
  <si>
    <t>T030</t>
  </si>
  <si>
    <t>score:47</t>
  </si>
  <si>
    <t>merchant_id</t>
  </si>
  <si>
    <t>account_manager</t>
  </si>
  <si>
    <t>merchant_category</t>
  </si>
  <si>
    <t>default_region</t>
  </si>
  <si>
    <t>M001</t>
  </si>
  <si>
    <t>Aisha Khan</t>
  </si>
  <si>
    <t>Grocery</t>
  </si>
  <si>
    <t>M002</t>
  </si>
  <si>
    <t>Rohan Mehta</t>
  </si>
  <si>
    <t>Electronics</t>
  </si>
  <si>
    <t>M003</t>
  </si>
  <si>
    <t>Elena Rossi</t>
  </si>
  <si>
    <t>Healthcare</t>
  </si>
  <si>
    <t>M004</t>
  </si>
  <si>
    <t>Marcus Lee</t>
  </si>
  <si>
    <t>Travel</t>
  </si>
  <si>
    <t>M005</t>
  </si>
  <si>
    <t>Nina Weber</t>
  </si>
  <si>
    <t>Home</t>
  </si>
  <si>
    <t>rate_date</t>
  </si>
  <si>
    <t>usd_rate</t>
  </si>
  <si>
    <t>merchant_name_cleaned</t>
  </si>
  <si>
    <t>status_clean</t>
  </si>
  <si>
    <t>risk_score_clean</t>
  </si>
  <si>
    <t>gateway_region_clean</t>
  </si>
  <si>
    <t>amount_usd</t>
  </si>
  <si>
    <t>high_value_flag</t>
  </si>
  <si>
    <t>high_risk_flag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</si>
</sst>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fb t="e">#N/A</fb>
    <v>6</v>
    <v>7</v>
  </rv>
  <rv s="1">
    <fb t="e">#N/A</fb>
    <v>6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1"/>
  <sheetViews>
    <sheetView tabSelected="1" topLeftCell="G1" workbookViewId="0">
      <selection activeCell="T12" sqref="T12"/>
    </sheetView>
  </sheetViews>
  <sheetFormatPr defaultRowHeight="14.5" x14ac:dyDescent="0.35"/>
  <cols>
    <col min="1" max="1" width="12.7265625" bestFit="1" customWidth="1"/>
    <col min="2" max="2" width="15" bestFit="1" customWidth="1"/>
    <col min="3" max="3" width="22.26953125" bestFit="1" customWidth="1"/>
    <col min="4" max="4" width="14.6328125" bestFit="1" customWidth="1"/>
    <col min="5" max="5" width="11.54296875" bestFit="1" customWidth="1"/>
    <col min="6" max="6" width="8" bestFit="1" customWidth="1"/>
    <col min="7" max="7" width="8" customWidth="1"/>
    <col min="8" max="8" width="16" bestFit="1" customWidth="1"/>
    <col min="9" max="9" width="18.54296875" bestFit="1" customWidth="1"/>
    <col min="10" max="10" width="18.54296875" customWidth="1"/>
    <col min="11" max="11" width="9.1796875" bestFit="1" customWidth="1"/>
    <col min="12" max="12" width="9.1796875" customWidth="1"/>
    <col min="13" max="13" width="14.08984375" bestFit="1" customWidth="1"/>
    <col min="14" max="14" width="7" bestFit="1" customWidth="1"/>
    <col min="15" max="15" width="15.81640625" bestFit="1" customWidth="1"/>
  </cols>
  <sheetData>
    <row r="1" spans="1:20" x14ac:dyDescent="0.35">
      <c r="A1" t="s">
        <v>0</v>
      </c>
      <c r="B1" t="s">
        <v>1</v>
      </c>
      <c r="C1" t="s">
        <v>126</v>
      </c>
      <c r="D1" t="s">
        <v>2</v>
      </c>
      <c r="E1" t="s">
        <v>3</v>
      </c>
      <c r="F1" t="s">
        <v>4</v>
      </c>
      <c r="G1" t="s">
        <v>130</v>
      </c>
      <c r="H1" t="s">
        <v>127</v>
      </c>
      <c r="I1" t="s">
        <v>5</v>
      </c>
      <c r="J1" t="s">
        <v>128</v>
      </c>
      <c r="K1" t="s">
        <v>6</v>
      </c>
      <c r="L1" t="s">
        <v>129</v>
      </c>
      <c r="M1" t="s">
        <v>7</v>
      </c>
      <c r="N1" t="s">
        <v>8</v>
      </c>
      <c r="O1" t="s">
        <v>9</v>
      </c>
      <c r="P1" t="s">
        <v>105</v>
      </c>
      <c r="Q1" t="s">
        <v>106</v>
      </c>
      <c r="R1" t="s">
        <v>107</v>
      </c>
      <c r="S1" t="s">
        <v>131</v>
      </c>
      <c r="T1" t="s">
        <v>132</v>
      </c>
    </row>
    <row r="2" spans="1:20" x14ac:dyDescent="0.35">
      <c r="A2" t="s">
        <v>10</v>
      </c>
      <c r="B2" s="1">
        <v>46082</v>
      </c>
      <c r="C2" s="1" t="str">
        <f>PROPER(TRIM(D2))</f>
        <v>Alpha Mart</v>
      </c>
      <c r="D2" t="s">
        <v>11</v>
      </c>
      <c r="E2">
        <v>420000</v>
      </c>
      <c r="F2" t="s">
        <v>12</v>
      </c>
      <c r="G2" cm="1">
        <f t="array" ref="G2">E2 * _xlfn.XLOOKUP(B2&amp;F2, exchange_rates!$A:$A&amp;exchange_rates!$B:$B, exchange_rates!$C:$C)</f>
        <v>4998</v>
      </c>
      <c r="H2" t="str">
        <f>LOWER(TRIM(I2))</f>
        <v>captured</v>
      </c>
      <c r="I2" t="s">
        <v>13</v>
      </c>
      <c r="J2" cm="1">
        <f t="array" ref="J2">IF(TRIM(H2)="","",VALUE(_xlfn.REGEXEXTRACT(K2,"\d+")))</f>
        <v>62</v>
      </c>
      <c r="K2" t="s">
        <v>14</v>
      </c>
      <c r="L2" t="str">
        <f>IF(TRIM(M2)="", VLOOKUP(C2, merchant_master!$B:$E, 4, FALSE), UPPER(TRIM(M2)))</f>
        <v>APAC</v>
      </c>
      <c r="M2" t="s">
        <v>15</v>
      </c>
      <c r="N2" t="s">
        <v>16</v>
      </c>
      <c r="O2" t="s">
        <v>17</v>
      </c>
      <c r="P2" t="str">
        <f>INDEX(merchant_master!$A:$A, MATCH(C2, merchant_master!$B:$B, 0))</f>
        <v>M001</v>
      </c>
      <c r="Q2" t="str">
        <f>VLOOKUP(C2, merchant_master!$B:$E, 2, FALSE)</f>
        <v>Aisha Khan</v>
      </c>
      <c r="R2" t="str">
        <f>VLOOKUP(C2, merchant_master!$B:$E, 3, FALSE)</f>
        <v>Grocery</v>
      </c>
      <c r="S2">
        <f>IF(OR(AND(L2="APAC", G2&gt;5000), AND(L2="EU", G2&gt;6000), AND(L2="US", G2&gt;7000)), 1, 0)</f>
        <v>0</v>
      </c>
      <c r="T2">
        <f>IF(OR(J2&gt;=70, ISNUMBER(SEARCH("chargeback", H2))), 1, 0)</f>
        <v>0</v>
      </c>
    </row>
    <row r="3" spans="1:20" x14ac:dyDescent="0.35">
      <c r="A3" t="s">
        <v>18</v>
      </c>
      <c r="B3" s="1">
        <v>46082</v>
      </c>
      <c r="C3" s="1" t="str">
        <f t="shared" ref="C3:C31" si="0">PROPER(TRIM(D3))</f>
        <v>Alpha Mart</v>
      </c>
      <c r="D3" t="s">
        <v>19</v>
      </c>
      <c r="E3">
        <v>210000</v>
      </c>
      <c r="F3" t="s">
        <v>12</v>
      </c>
      <c r="G3" cm="1">
        <f t="array" ref="G3">E3 * _xlfn.XLOOKUP(B3&amp;F3, exchange_rates!$A:$A&amp;exchange_rates!$B:$B, exchange_rates!$C:$C)</f>
        <v>2499</v>
      </c>
      <c r="H3" t="str">
        <f t="shared" ref="H3:H31" si="1">LOWER(TRIM(I3))</f>
        <v>captured</v>
      </c>
      <c r="I3" t="s">
        <v>20</v>
      </c>
      <c r="J3" cm="1">
        <f t="array" ref="J3">IF(TRIM(H3)="","",VALUE(_xlfn.REGEXEXTRACT(K3,"\d+")))</f>
        <v>55</v>
      </c>
      <c r="K3">
        <v>55</v>
      </c>
      <c r="L3" t="str">
        <f>IF(TRIM(M3)="", VLOOKUP(C3, merchant_master!$B:$E, 4, FALSE), UPPER(TRIM(M3)))</f>
        <v>APAC</v>
      </c>
      <c r="N3" t="s">
        <v>21</v>
      </c>
      <c r="O3" t="s">
        <v>22</v>
      </c>
      <c r="P3" t="str">
        <f>INDEX(merchant_master!$A:$A, MATCH(C3, merchant_master!$B:$B, 0))</f>
        <v>M001</v>
      </c>
      <c r="Q3" t="str">
        <f>VLOOKUP(C3, merchant_master!$B:$E, 2, FALSE)</f>
        <v>Aisha Khan</v>
      </c>
      <c r="R3" t="str">
        <f>VLOOKUP(C3, merchant_master!$B:$E, 3, FALSE)</f>
        <v>Grocery</v>
      </c>
      <c r="S3">
        <f t="shared" ref="S3:S31" si="2">IF(OR(AND(L3="APAC", G3&gt;5000), AND(L3="EU", G3&gt;6000), AND(L3="US", G3&gt;7000)), 1, 0)</f>
        <v>0</v>
      </c>
      <c r="T3">
        <f t="shared" ref="T3:T31" si="3">IF(OR(J3&gt;=70, ISNUMBER(SEARCH("chargeback", H3))), 1, 0)</f>
        <v>0</v>
      </c>
    </row>
    <row r="4" spans="1:20" x14ac:dyDescent="0.35">
      <c r="A4" t="s">
        <v>23</v>
      </c>
      <c r="B4" s="1">
        <v>46082</v>
      </c>
      <c r="C4" s="1" t="str">
        <f t="shared" si="0"/>
        <v>Beta Stores</v>
      </c>
      <c r="D4" t="s">
        <v>24</v>
      </c>
      <c r="E4">
        <v>510000</v>
      </c>
      <c r="F4" t="s">
        <v>12</v>
      </c>
      <c r="G4" cm="1">
        <f t="array" ref="G4">E4 * _xlfn.XLOOKUP(B4&amp;F4, exchange_rates!$A:$A&amp;exchange_rates!$B:$B, exchange_rates!$C:$C)</f>
        <v>6069</v>
      </c>
      <c r="H4" t="str">
        <f t="shared" si="1"/>
        <v>captured</v>
      </c>
      <c r="I4" t="s">
        <v>25</v>
      </c>
      <c r="J4" cm="1">
        <f t="array" ref="J4">IF(TRIM(H4)="","",VALUE(_xlfn.REGEXEXTRACT(K4,"\d+")))</f>
        <v>71</v>
      </c>
      <c r="K4">
        <v>71</v>
      </c>
      <c r="L4" t="str">
        <f>IF(TRIM(M4)="", VLOOKUP(C4, merchant_master!$B:$E, 4, FALSE), UPPER(TRIM(M4)))</f>
        <v>APAC</v>
      </c>
      <c r="M4" t="s">
        <v>26</v>
      </c>
      <c r="N4" t="s">
        <v>27</v>
      </c>
      <c r="O4" t="s">
        <v>28</v>
      </c>
      <c r="P4" t="str">
        <f>INDEX(merchant_master!$A:$A, MATCH(C4, merchant_master!$B:$B, 0))</f>
        <v>M002</v>
      </c>
      <c r="Q4" t="str">
        <f>VLOOKUP(C4, merchant_master!$B:$E, 2, FALSE)</f>
        <v>Rohan Mehta</v>
      </c>
      <c r="R4" t="str">
        <f>VLOOKUP(C4, merchant_master!$B:$E, 3, FALSE)</f>
        <v>Electronics</v>
      </c>
      <c r="S4">
        <f t="shared" si="2"/>
        <v>1</v>
      </c>
      <c r="T4">
        <f t="shared" si="3"/>
        <v>1</v>
      </c>
    </row>
    <row r="5" spans="1:20" x14ac:dyDescent="0.35">
      <c r="A5" t="s">
        <v>29</v>
      </c>
      <c r="B5" s="1">
        <v>46083</v>
      </c>
      <c r="C5" s="1" t="str">
        <f t="shared" si="0"/>
        <v>Beta Stores</v>
      </c>
      <c r="D5" t="s">
        <v>30</v>
      </c>
      <c r="E5">
        <v>160000</v>
      </c>
      <c r="F5" t="s">
        <v>12</v>
      </c>
      <c r="G5" cm="1">
        <f t="array" ref="G5">E5 * _xlfn.XLOOKUP(B5&amp;F5, exchange_rates!$A:$A&amp;exchange_rates!$B:$B, exchange_rates!$C:$C)</f>
        <v>1920</v>
      </c>
      <c r="H5" t="str">
        <f t="shared" si="1"/>
        <v>failed e05 timeout</v>
      </c>
      <c r="I5" t="s">
        <v>31</v>
      </c>
      <c r="J5" cm="1">
        <f t="array" ref="J5">IF(TRIM(H5)="","",VALUE(_xlfn.REGEXEXTRACT(K5,"\d+")))</f>
        <v>68</v>
      </c>
      <c r="K5">
        <v>68</v>
      </c>
      <c r="L5" t="str">
        <f>IF(TRIM(M5)="", VLOOKUP(C5, merchant_master!$B:$E, 4, FALSE), UPPER(TRIM(M5)))</f>
        <v>APAC</v>
      </c>
      <c r="M5" t="s">
        <v>32</v>
      </c>
      <c r="N5" t="s">
        <v>33</v>
      </c>
      <c r="O5" t="s">
        <v>22</v>
      </c>
      <c r="P5" t="str">
        <f>INDEX(merchant_master!$A:$A, MATCH(C5, merchant_master!$B:$B, 0))</f>
        <v>M002</v>
      </c>
      <c r="Q5" t="str">
        <f>VLOOKUP(C5, merchant_master!$B:$E, 2, FALSE)</f>
        <v>Rohan Mehta</v>
      </c>
      <c r="R5" t="str">
        <f>VLOOKUP(C5, merchant_master!$B:$E, 3, FALSE)</f>
        <v>Electronics</v>
      </c>
      <c r="S5">
        <f t="shared" si="2"/>
        <v>0</v>
      </c>
      <c r="T5">
        <f t="shared" si="3"/>
        <v>0</v>
      </c>
    </row>
    <row r="6" spans="1:20" x14ac:dyDescent="0.35">
      <c r="A6" t="s">
        <v>34</v>
      </c>
      <c r="B6" s="1">
        <v>46083</v>
      </c>
      <c r="C6" s="1" t="str">
        <f t="shared" si="0"/>
        <v>Alpha Mart</v>
      </c>
      <c r="D6" t="s">
        <v>35</v>
      </c>
      <c r="E6">
        <v>390000</v>
      </c>
      <c r="F6" t="s">
        <v>12</v>
      </c>
      <c r="G6" cm="1">
        <f t="array" ref="G6">E6 * _xlfn.XLOOKUP(B6&amp;F6, exchange_rates!$A:$A&amp;exchange_rates!$B:$B, exchange_rates!$C:$C)</f>
        <v>4680</v>
      </c>
      <c r="H6" t="str">
        <f t="shared" si="1"/>
        <v>captured</v>
      </c>
      <c r="I6" t="s">
        <v>25</v>
      </c>
      <c r="J6" cm="1">
        <f t="array" ref="J6">IF(TRIM(H6)="","",VALUE(_xlfn.REGEXEXTRACT(K6,"\d+")))</f>
        <v>58</v>
      </c>
      <c r="K6">
        <v>58</v>
      </c>
      <c r="L6" t="str">
        <f>IF(TRIM(M6)="", VLOOKUP(C6, merchant_master!$B:$E, 4, FALSE), UPPER(TRIM(M6)))</f>
        <v>APAC</v>
      </c>
      <c r="N6" t="s">
        <v>16</v>
      </c>
      <c r="O6" t="s">
        <v>17</v>
      </c>
      <c r="P6" t="str">
        <f>INDEX(merchant_master!$A:$A, MATCH(C6, merchant_master!$B:$B, 0))</f>
        <v>M001</v>
      </c>
      <c r="Q6" t="str">
        <f>VLOOKUP(C6, merchant_master!$B:$E, 2, FALSE)</f>
        <v>Aisha Khan</v>
      </c>
      <c r="R6" t="str">
        <f>VLOOKUP(C6, merchant_master!$B:$E, 3, FALSE)</f>
        <v>Grocery</v>
      </c>
      <c r="S6">
        <f t="shared" si="2"/>
        <v>0</v>
      </c>
      <c r="T6">
        <f t="shared" si="3"/>
        <v>0</v>
      </c>
    </row>
    <row r="7" spans="1:20" x14ac:dyDescent="0.35">
      <c r="A7" t="s">
        <v>36</v>
      </c>
      <c r="B7" s="1">
        <v>46083</v>
      </c>
      <c r="C7" s="1" t="str">
        <f t="shared" si="0"/>
        <v>Beta Stores</v>
      </c>
      <c r="D7" t="s">
        <v>30</v>
      </c>
      <c r="E7">
        <v>275000</v>
      </c>
      <c r="F7" t="s">
        <v>12</v>
      </c>
      <c r="G7" cm="1">
        <f t="array" ref="G7">E7 * _xlfn.XLOOKUP(B7&amp;F7, exchange_rates!$A:$A&amp;exchange_rates!$B:$B, exchange_rates!$C:$C)</f>
        <v>3300</v>
      </c>
      <c r="H7" t="str">
        <f t="shared" si="1"/>
        <v>captured</v>
      </c>
      <c r="I7" t="s">
        <v>20</v>
      </c>
      <c r="J7" cm="1">
        <f t="array" ref="J7">IF(TRIM(H7)="","",VALUE(_xlfn.REGEXEXTRACT(K7,"\d+")))</f>
        <v>64</v>
      </c>
      <c r="K7" t="s">
        <v>37</v>
      </c>
      <c r="L7" t="str">
        <f>IF(TRIM(M7)="", VLOOKUP(C7, merchant_master!$B:$E, 4, FALSE), UPPER(TRIM(M7)))</f>
        <v>APAC</v>
      </c>
      <c r="N7" t="s">
        <v>38</v>
      </c>
      <c r="O7" t="s">
        <v>39</v>
      </c>
      <c r="P7" t="str">
        <f>INDEX(merchant_master!$A:$A, MATCH(C7, merchant_master!$B:$B, 0))</f>
        <v>M002</v>
      </c>
      <c r="Q7" t="str">
        <f>VLOOKUP(C7, merchant_master!$B:$E, 2, FALSE)</f>
        <v>Rohan Mehta</v>
      </c>
      <c r="R7" t="str">
        <f>VLOOKUP(C7, merchant_master!$B:$E, 3, FALSE)</f>
        <v>Electronics</v>
      </c>
      <c r="S7">
        <f t="shared" si="2"/>
        <v>0</v>
      </c>
      <c r="T7">
        <f t="shared" si="3"/>
        <v>0</v>
      </c>
    </row>
    <row r="8" spans="1:20" x14ac:dyDescent="0.35">
      <c r="A8" t="s">
        <v>40</v>
      </c>
      <c r="B8" s="1">
        <v>46083</v>
      </c>
      <c r="C8" s="1" t="str">
        <f t="shared" si="0"/>
        <v>Alpha Mart</v>
      </c>
      <c r="D8" t="s">
        <v>41</v>
      </c>
      <c r="E8">
        <v>450000</v>
      </c>
      <c r="F8" t="s">
        <v>12</v>
      </c>
      <c r="G8" cm="1">
        <f t="array" ref="G8">E8 * _xlfn.XLOOKUP(B8&amp;F8, exchange_rates!$A:$A&amp;exchange_rates!$B:$B, exchange_rates!$C:$C)</f>
        <v>5400</v>
      </c>
      <c r="H8" t="str">
        <f t="shared" si="1"/>
        <v>chargeback</v>
      </c>
      <c r="I8" t="s">
        <v>42</v>
      </c>
      <c r="J8" cm="1">
        <f t="array" ref="J8">IF(TRIM(H8)="","",VALUE(_xlfn.REGEXEXTRACT(K8,"\d+")))</f>
        <v>83</v>
      </c>
      <c r="K8" t="s">
        <v>43</v>
      </c>
      <c r="L8" t="str">
        <f>IF(TRIM(M8)="", VLOOKUP(C8, merchant_master!$B:$E, 4, FALSE), UPPER(TRIM(M8)))</f>
        <v>APAC</v>
      </c>
      <c r="M8" t="s">
        <v>26</v>
      </c>
      <c r="N8" t="s">
        <v>44</v>
      </c>
      <c r="O8" t="s">
        <v>22</v>
      </c>
      <c r="P8" t="str">
        <f>INDEX(merchant_master!$A:$A, MATCH(C8, merchant_master!$B:$B, 0))</f>
        <v>M001</v>
      </c>
      <c r="Q8" t="str">
        <f>VLOOKUP(C8, merchant_master!$B:$E, 2, FALSE)</f>
        <v>Aisha Khan</v>
      </c>
      <c r="R8" t="str">
        <f>VLOOKUP(C8, merchant_master!$B:$E, 3, FALSE)</f>
        <v>Grocery</v>
      </c>
      <c r="S8">
        <f t="shared" si="2"/>
        <v>1</v>
      </c>
      <c r="T8">
        <f t="shared" si="3"/>
        <v>1</v>
      </c>
    </row>
    <row r="9" spans="1:20" x14ac:dyDescent="0.35">
      <c r="A9" t="s">
        <v>45</v>
      </c>
      <c r="B9" s="1">
        <v>46084</v>
      </c>
      <c r="C9" s="1" t="str">
        <f t="shared" si="0"/>
        <v>Beta Stores</v>
      </c>
      <c r="D9" t="s">
        <v>24</v>
      </c>
      <c r="E9">
        <v>340000</v>
      </c>
      <c r="F9" t="s">
        <v>12</v>
      </c>
      <c r="G9" cm="1">
        <f t="array" ref="G9">E9 * _xlfn.XLOOKUP(B9&amp;F9, exchange_rates!$A:$A&amp;exchange_rates!$B:$B, exchange_rates!$C:$C)</f>
        <v>4114</v>
      </c>
      <c r="H9" t="str">
        <f t="shared" si="1"/>
        <v>captured</v>
      </c>
      <c r="I9" t="s">
        <v>20</v>
      </c>
      <c r="J9" cm="1">
        <f t="array" ref="J9">IF(TRIM(H9)="","",VALUE(_xlfn.REGEXEXTRACT(K9,"\d+")))</f>
        <v>59</v>
      </c>
      <c r="K9">
        <v>59</v>
      </c>
      <c r="L9" t="str">
        <f>IF(TRIM(M9)="", VLOOKUP(C9, merchant_master!$B:$E, 4, FALSE), UPPER(TRIM(M9)))</f>
        <v>APAC</v>
      </c>
      <c r="N9" t="s">
        <v>46</v>
      </c>
      <c r="O9" t="s">
        <v>17</v>
      </c>
      <c r="P9" t="str">
        <f>INDEX(merchant_master!$A:$A, MATCH(C9, merchant_master!$B:$B, 0))</f>
        <v>M002</v>
      </c>
      <c r="Q9" t="str">
        <f>VLOOKUP(C9, merchant_master!$B:$E, 2, FALSE)</f>
        <v>Rohan Mehta</v>
      </c>
      <c r="R9" t="str">
        <f>VLOOKUP(C9, merchant_master!$B:$E, 3, FALSE)</f>
        <v>Electronics</v>
      </c>
      <c r="S9">
        <f t="shared" si="2"/>
        <v>0</v>
      </c>
      <c r="T9">
        <f t="shared" si="3"/>
        <v>0</v>
      </c>
    </row>
    <row r="10" spans="1:20" x14ac:dyDescent="0.35">
      <c r="A10" t="s">
        <v>47</v>
      </c>
      <c r="B10" s="1">
        <v>46084</v>
      </c>
      <c r="C10" s="1" t="str">
        <f t="shared" si="0"/>
        <v>Alpha Mart</v>
      </c>
      <c r="D10" t="s">
        <v>35</v>
      </c>
      <c r="E10">
        <v>125000</v>
      </c>
      <c r="F10" t="s">
        <v>12</v>
      </c>
      <c r="G10" cm="1">
        <f t="array" ref="G10">E10 * _xlfn.XLOOKUP(B10&amp;F10, exchange_rates!$A:$A&amp;exchange_rates!$B:$B, exchange_rates!$C:$C)</f>
        <v>1512.5</v>
      </c>
      <c r="H10" t="str">
        <f t="shared" si="1"/>
        <v>captured</v>
      </c>
      <c r="I10" t="s">
        <v>13</v>
      </c>
      <c r="J10" cm="1">
        <f t="array" ref="J10">IF(TRIM(H10)="","",VALUE(_xlfn.REGEXEXTRACT(K10,"\d+")))</f>
        <v>46</v>
      </c>
      <c r="K10">
        <v>46</v>
      </c>
      <c r="L10" t="str">
        <f>IF(TRIM(M10)="", VLOOKUP(C10, merchant_master!$B:$E, 4, FALSE), UPPER(TRIM(M10)))</f>
        <v>APAC</v>
      </c>
      <c r="M10" t="s">
        <v>15</v>
      </c>
      <c r="N10" t="s">
        <v>21</v>
      </c>
      <c r="O10" t="s">
        <v>39</v>
      </c>
      <c r="P10" t="str">
        <f>INDEX(merchant_master!$A:$A, MATCH(C10, merchant_master!$B:$B, 0))</f>
        <v>M001</v>
      </c>
      <c r="Q10" t="str">
        <f>VLOOKUP(C10, merchant_master!$B:$E, 2, FALSE)</f>
        <v>Aisha Khan</v>
      </c>
      <c r="R10" t="str">
        <f>VLOOKUP(C10, merchant_master!$B:$E, 3, FALSE)</f>
        <v>Grocery</v>
      </c>
      <c r="S10">
        <f t="shared" si="2"/>
        <v>0</v>
      </c>
      <c r="T10">
        <f t="shared" si="3"/>
        <v>0</v>
      </c>
    </row>
    <row r="11" spans="1:20" x14ac:dyDescent="0.35">
      <c r="A11" t="s">
        <v>48</v>
      </c>
      <c r="B11" s="1">
        <v>46084</v>
      </c>
      <c r="C11" s="1" t="str">
        <f t="shared" si="0"/>
        <v>Beta Stores</v>
      </c>
      <c r="D11" t="s">
        <v>49</v>
      </c>
      <c r="E11">
        <v>610000</v>
      </c>
      <c r="F11" t="s">
        <v>12</v>
      </c>
      <c r="G11" cm="1">
        <f t="array" ref="G11">E11 * _xlfn.XLOOKUP(B11&amp;F11, exchange_rates!$A:$A&amp;exchange_rates!$B:$B, exchange_rates!$C:$C)</f>
        <v>7381</v>
      </c>
      <c r="H11" t="str">
        <f t="shared" si="1"/>
        <v>captured</v>
      </c>
      <c r="I11" t="s">
        <v>13</v>
      </c>
      <c r="J11" cm="1">
        <f t="array" ref="J11">IF(TRIM(H11)="","",VALUE(_xlfn.REGEXEXTRACT(K11,"\d+")))</f>
        <v>77</v>
      </c>
      <c r="K11" t="s">
        <v>50</v>
      </c>
      <c r="L11" t="str">
        <f>IF(TRIM(M11)="", VLOOKUP(C11, merchant_master!$B:$E, 4, FALSE), UPPER(TRIM(M11)))</f>
        <v>APAC</v>
      </c>
      <c r="N11" t="s">
        <v>27</v>
      </c>
      <c r="O11" t="s">
        <v>22</v>
      </c>
      <c r="P11" t="str">
        <f>INDEX(merchant_master!$A:$A, MATCH(C11, merchant_master!$B:$B, 0))</f>
        <v>M002</v>
      </c>
      <c r="Q11" t="str">
        <f>VLOOKUP(C11, merchant_master!$B:$E, 2, FALSE)</f>
        <v>Rohan Mehta</v>
      </c>
      <c r="R11" t="str">
        <f>VLOOKUP(C11, merchant_master!$B:$E, 3, FALSE)</f>
        <v>Electronics</v>
      </c>
      <c r="S11">
        <f t="shared" si="2"/>
        <v>1</v>
      </c>
      <c r="T11">
        <f t="shared" si="3"/>
        <v>1</v>
      </c>
    </row>
    <row r="12" spans="1:20" x14ac:dyDescent="0.35">
      <c r="A12" t="s">
        <v>51</v>
      </c>
      <c r="B12" s="1">
        <v>46084</v>
      </c>
      <c r="C12" s="1" t="str">
        <f t="shared" si="0"/>
        <v>Alpha Mart</v>
      </c>
      <c r="D12" t="s">
        <v>41</v>
      </c>
      <c r="E12">
        <v>195000</v>
      </c>
      <c r="F12" t="s">
        <v>12</v>
      </c>
      <c r="G12" cm="1">
        <f t="array" ref="G12">E12 * _xlfn.XLOOKUP(B12&amp;F12, exchange_rates!$A:$A&amp;exchange_rates!$B:$B, exchange_rates!$C:$C)</f>
        <v>2359.5</v>
      </c>
      <c r="H12" t="str">
        <f t="shared" si="1"/>
        <v>failed e05 timeout</v>
      </c>
      <c r="I12" t="s">
        <v>52</v>
      </c>
      <c r="J12" t="e" cm="1" vm="1">
        <f t="array" ref="J12">IF(TRIM(H12)="","",VALUE(_xlfn.REGEXEXTRACT(K12,"\d+")))</f>
        <v>#N/A</v>
      </c>
      <c r="L12" t="str">
        <f>IF(TRIM(M12)="", VLOOKUP(C12, merchant_master!$B:$E, 4, FALSE), UPPER(TRIM(M12)))</f>
        <v>APAC</v>
      </c>
      <c r="N12" t="s">
        <v>53</v>
      </c>
      <c r="O12" t="s">
        <v>17</v>
      </c>
      <c r="P12" t="str">
        <f>INDEX(merchant_master!$A:$A, MATCH(C12, merchant_master!$B:$B, 0))</f>
        <v>M001</v>
      </c>
      <c r="Q12" t="str">
        <f>VLOOKUP(C12, merchant_master!$B:$E, 2, FALSE)</f>
        <v>Aisha Khan</v>
      </c>
      <c r="R12" t="str">
        <f>VLOOKUP(C12, merchant_master!$B:$E, 3, FALSE)</f>
        <v>Grocery</v>
      </c>
      <c r="S12">
        <f t="shared" si="2"/>
        <v>0</v>
      </c>
      <c r="T12" t="e" vm="2">
        <f t="shared" si="3"/>
        <v>#N/A</v>
      </c>
    </row>
    <row r="13" spans="1:20" x14ac:dyDescent="0.35">
      <c r="A13" t="s">
        <v>54</v>
      </c>
      <c r="B13" s="1">
        <v>46085</v>
      </c>
      <c r="C13" s="1" t="str">
        <f t="shared" si="0"/>
        <v>Beta Stores</v>
      </c>
      <c r="D13" t="s">
        <v>30</v>
      </c>
      <c r="E13">
        <v>250000</v>
      </c>
      <c r="F13" t="s">
        <v>12</v>
      </c>
      <c r="G13" cm="1">
        <f t="array" ref="G13">E13 * _xlfn.XLOOKUP(B13&amp;F13, exchange_rates!$A:$A&amp;exchange_rates!$B:$B, exchange_rates!$C:$C)</f>
        <v>3000</v>
      </c>
      <c r="H13" t="str">
        <f t="shared" si="1"/>
        <v>captured</v>
      </c>
      <c r="I13" t="s">
        <v>55</v>
      </c>
      <c r="J13" cm="1">
        <f t="array" ref="J13">IF(TRIM(H13)="","",VALUE(_xlfn.REGEXEXTRACT(K13,"\d+")))</f>
        <v>61</v>
      </c>
      <c r="K13" t="s">
        <v>56</v>
      </c>
      <c r="L13" t="str">
        <f>IF(TRIM(M13)="", VLOOKUP(C13, merchant_master!$B:$E, 4, FALSE), UPPER(TRIM(M13)))</f>
        <v>APAC</v>
      </c>
      <c r="M13" t="s">
        <v>26</v>
      </c>
      <c r="N13" t="s">
        <v>57</v>
      </c>
      <c r="O13" t="s">
        <v>22</v>
      </c>
      <c r="P13" t="str">
        <f>INDEX(merchant_master!$A:$A, MATCH(C13, merchant_master!$B:$B, 0))</f>
        <v>M002</v>
      </c>
      <c r="Q13" t="str">
        <f>VLOOKUP(C13, merchant_master!$B:$E, 2, FALSE)</f>
        <v>Rohan Mehta</v>
      </c>
      <c r="R13" t="str">
        <f>VLOOKUP(C13, merchant_master!$B:$E, 3, FALSE)</f>
        <v>Electronics</v>
      </c>
      <c r="S13">
        <f t="shared" si="2"/>
        <v>0</v>
      </c>
      <c r="T13">
        <f t="shared" si="3"/>
        <v>0</v>
      </c>
    </row>
    <row r="14" spans="1:20" x14ac:dyDescent="0.35">
      <c r="A14" t="s">
        <v>58</v>
      </c>
      <c r="B14" s="1">
        <v>46085</v>
      </c>
      <c r="C14" s="1" t="str">
        <f t="shared" si="0"/>
        <v>Alpha Mart</v>
      </c>
      <c r="D14" t="s">
        <v>11</v>
      </c>
      <c r="E14">
        <v>310000</v>
      </c>
      <c r="F14" t="s">
        <v>12</v>
      </c>
      <c r="G14" cm="1">
        <f t="array" ref="G14">E14 * _xlfn.XLOOKUP(B14&amp;F14, exchange_rates!$A:$A&amp;exchange_rates!$B:$B, exchange_rates!$C:$C)</f>
        <v>3720</v>
      </c>
      <c r="H14" t="str">
        <f t="shared" si="1"/>
        <v>captured</v>
      </c>
      <c r="I14" t="s">
        <v>55</v>
      </c>
      <c r="J14" cm="1">
        <f t="array" ref="J14">IF(TRIM(H14)="","",VALUE(_xlfn.REGEXEXTRACT(K14,"\d+")))</f>
        <v>54</v>
      </c>
      <c r="K14" t="s">
        <v>59</v>
      </c>
      <c r="L14" t="str">
        <f>IF(TRIM(M14)="", VLOOKUP(C14, merchant_master!$B:$E, 4, FALSE), UPPER(TRIM(M14)))</f>
        <v>APAC</v>
      </c>
      <c r="M14" t="s">
        <v>15</v>
      </c>
      <c r="N14" t="s">
        <v>60</v>
      </c>
      <c r="O14" t="s">
        <v>17</v>
      </c>
      <c r="P14" t="str">
        <f>INDEX(merchant_master!$A:$A, MATCH(C14, merchant_master!$B:$B, 0))</f>
        <v>M001</v>
      </c>
      <c r="Q14" t="str">
        <f>VLOOKUP(C14, merchant_master!$B:$E, 2, FALSE)</f>
        <v>Aisha Khan</v>
      </c>
      <c r="R14" t="str">
        <f>VLOOKUP(C14, merchant_master!$B:$E, 3, FALSE)</f>
        <v>Grocery</v>
      </c>
      <c r="S14">
        <f t="shared" si="2"/>
        <v>0</v>
      </c>
      <c r="T14">
        <f t="shared" si="3"/>
        <v>0</v>
      </c>
    </row>
    <row r="15" spans="1:20" x14ac:dyDescent="0.35">
      <c r="A15" t="s">
        <v>61</v>
      </c>
      <c r="B15" s="1">
        <v>46085</v>
      </c>
      <c r="C15" s="1" t="str">
        <f t="shared" si="0"/>
        <v>Beta Stores</v>
      </c>
      <c r="D15" t="s">
        <v>30</v>
      </c>
      <c r="E15">
        <v>470000</v>
      </c>
      <c r="F15" t="s">
        <v>12</v>
      </c>
      <c r="G15" cm="1">
        <f t="array" ref="G15">E15 * _xlfn.XLOOKUP(B15&amp;F15, exchange_rates!$A:$A&amp;exchange_rates!$B:$B, exchange_rates!$C:$C)</f>
        <v>5640</v>
      </c>
      <c r="H15" t="str">
        <f t="shared" si="1"/>
        <v>captured</v>
      </c>
      <c r="I15" t="s">
        <v>55</v>
      </c>
      <c r="J15" cm="1">
        <f t="array" ref="J15">IF(TRIM(H15)="","",VALUE(_xlfn.REGEXEXTRACT(K15,"\d+")))</f>
        <v>73</v>
      </c>
      <c r="K15" t="s">
        <v>62</v>
      </c>
      <c r="L15" t="str">
        <f>IF(TRIM(M15)="", VLOOKUP(C15, merchant_master!$B:$E, 4, FALSE), UPPER(TRIM(M15)))</f>
        <v>APAC</v>
      </c>
      <c r="M15" t="s">
        <v>15</v>
      </c>
      <c r="N15" t="s">
        <v>16</v>
      </c>
      <c r="O15" t="s">
        <v>28</v>
      </c>
      <c r="P15" t="str">
        <f>INDEX(merchant_master!$A:$A, MATCH(C15, merchant_master!$B:$B, 0))</f>
        <v>M002</v>
      </c>
      <c r="Q15" t="str">
        <f>VLOOKUP(C15, merchant_master!$B:$E, 2, FALSE)</f>
        <v>Rohan Mehta</v>
      </c>
      <c r="R15" t="str">
        <f>VLOOKUP(C15, merchant_master!$B:$E, 3, FALSE)</f>
        <v>Electronics</v>
      </c>
      <c r="S15">
        <f t="shared" si="2"/>
        <v>1</v>
      </c>
      <c r="T15">
        <f t="shared" si="3"/>
        <v>1</v>
      </c>
    </row>
    <row r="16" spans="1:20" x14ac:dyDescent="0.35">
      <c r="A16" t="s">
        <v>63</v>
      </c>
      <c r="B16" s="1">
        <v>46085</v>
      </c>
      <c r="C16" s="1" t="str">
        <f t="shared" si="0"/>
        <v>Alpha Mart</v>
      </c>
      <c r="D16" t="s">
        <v>35</v>
      </c>
      <c r="E16">
        <v>130000</v>
      </c>
      <c r="F16" t="s">
        <v>12</v>
      </c>
      <c r="G16" cm="1">
        <f t="array" ref="G16">E16 * _xlfn.XLOOKUP(B16&amp;F16, exchange_rates!$A:$A&amp;exchange_rates!$B:$B, exchange_rates!$C:$C)</f>
        <v>1560</v>
      </c>
      <c r="H16" t="str">
        <f t="shared" si="1"/>
        <v>captured</v>
      </c>
      <c r="I16" t="s">
        <v>13</v>
      </c>
      <c r="J16" cm="1">
        <f t="array" ref="J16">IF(TRIM(H16)="","",VALUE(_xlfn.REGEXEXTRACT(K16,"\d+")))</f>
        <v>52</v>
      </c>
      <c r="K16" t="s">
        <v>64</v>
      </c>
      <c r="L16" t="str">
        <f>IF(TRIM(M16)="", VLOOKUP(C16, merchant_master!$B:$E, 4, FALSE), UPPER(TRIM(M16)))</f>
        <v>APAC</v>
      </c>
      <c r="N16" t="s">
        <v>21</v>
      </c>
      <c r="O16" t="s">
        <v>22</v>
      </c>
      <c r="P16" t="str">
        <f>INDEX(merchant_master!$A:$A, MATCH(C16, merchant_master!$B:$B, 0))</f>
        <v>M001</v>
      </c>
      <c r="Q16" t="str">
        <f>VLOOKUP(C16, merchant_master!$B:$E, 2, FALSE)</f>
        <v>Aisha Khan</v>
      </c>
      <c r="R16" t="str">
        <f>VLOOKUP(C16, merchant_master!$B:$E, 3, FALSE)</f>
        <v>Grocery</v>
      </c>
      <c r="S16">
        <f t="shared" si="2"/>
        <v>0</v>
      </c>
      <c r="T16">
        <f t="shared" si="3"/>
        <v>0</v>
      </c>
    </row>
    <row r="17" spans="1:20" x14ac:dyDescent="0.35">
      <c r="A17" t="s">
        <v>65</v>
      </c>
      <c r="B17" s="1">
        <v>46086</v>
      </c>
      <c r="C17" s="1" t="str">
        <f t="shared" si="0"/>
        <v>Beta Stores</v>
      </c>
      <c r="D17" t="s">
        <v>30</v>
      </c>
      <c r="E17">
        <v>220000</v>
      </c>
      <c r="F17" t="s">
        <v>12</v>
      </c>
      <c r="G17" cm="1">
        <f t="array" ref="G17">E17 * _xlfn.XLOOKUP(B17&amp;F17, exchange_rates!$A:$A&amp;exchange_rates!$B:$B, exchange_rates!$C:$C)</f>
        <v>2596</v>
      </c>
      <c r="H17" t="str">
        <f t="shared" si="1"/>
        <v>failed e05 timeout</v>
      </c>
      <c r="I17" t="s">
        <v>66</v>
      </c>
      <c r="J17" cm="1">
        <f t="array" ref="J17">IF(TRIM(H17)="","",VALUE(_xlfn.REGEXEXTRACT(K17,"\d+")))</f>
        <v>69</v>
      </c>
      <c r="K17" t="s">
        <v>67</v>
      </c>
      <c r="L17" t="str">
        <f>IF(TRIM(M17)="", VLOOKUP(C17, merchant_master!$B:$E, 4, FALSE), UPPER(TRIM(M17)))</f>
        <v>APAC</v>
      </c>
      <c r="N17" t="s">
        <v>53</v>
      </c>
      <c r="O17" t="s">
        <v>22</v>
      </c>
      <c r="P17" t="str">
        <f>INDEX(merchant_master!$A:$A, MATCH(C17, merchant_master!$B:$B, 0))</f>
        <v>M002</v>
      </c>
      <c r="Q17" t="str">
        <f>VLOOKUP(C17, merchant_master!$B:$E, 2, FALSE)</f>
        <v>Rohan Mehta</v>
      </c>
      <c r="R17" t="str">
        <f>VLOOKUP(C17, merchant_master!$B:$E, 3, FALSE)</f>
        <v>Electronics</v>
      </c>
      <c r="S17">
        <f t="shared" si="2"/>
        <v>0</v>
      </c>
      <c r="T17">
        <f t="shared" si="3"/>
        <v>0</v>
      </c>
    </row>
    <row r="18" spans="1:20" x14ac:dyDescent="0.35">
      <c r="A18" t="s">
        <v>68</v>
      </c>
      <c r="B18" s="1">
        <v>46086</v>
      </c>
      <c r="C18" s="1" t="str">
        <f t="shared" si="0"/>
        <v>Beta Stores</v>
      </c>
      <c r="D18" t="s">
        <v>30</v>
      </c>
      <c r="E18">
        <v>180000</v>
      </c>
      <c r="F18" t="s">
        <v>12</v>
      </c>
      <c r="G18" cm="1">
        <f t="array" ref="G18">E18 * _xlfn.XLOOKUP(B18&amp;F18, exchange_rates!$A:$A&amp;exchange_rates!$B:$B, exchange_rates!$C:$C)</f>
        <v>2124</v>
      </c>
      <c r="H18" t="str">
        <f t="shared" si="1"/>
        <v>failed e05 timeout</v>
      </c>
      <c r="I18" t="s">
        <v>69</v>
      </c>
      <c r="J18" cm="1">
        <f t="array" ref="J18">IF(TRIM(H18)="","",VALUE(_xlfn.REGEXEXTRACT(K18,"\d+")))</f>
        <v>72</v>
      </c>
      <c r="K18" t="s">
        <v>70</v>
      </c>
      <c r="L18" t="str">
        <f>IF(TRIM(M18)="", VLOOKUP(C18, merchant_master!$B:$E, 4, FALSE), UPPER(TRIM(M18)))</f>
        <v>APAC</v>
      </c>
      <c r="M18" t="s">
        <v>32</v>
      </c>
      <c r="N18" t="s">
        <v>53</v>
      </c>
      <c r="O18" t="s">
        <v>22</v>
      </c>
      <c r="P18" t="str">
        <f>INDEX(merchant_master!$A:$A, MATCH(C18, merchant_master!$B:$B, 0))</f>
        <v>M002</v>
      </c>
      <c r="Q18" t="str">
        <f>VLOOKUP(C18, merchant_master!$B:$E, 2, FALSE)</f>
        <v>Rohan Mehta</v>
      </c>
      <c r="R18" t="str">
        <f>VLOOKUP(C18, merchant_master!$B:$E, 3, FALSE)</f>
        <v>Electronics</v>
      </c>
      <c r="S18">
        <f t="shared" si="2"/>
        <v>0</v>
      </c>
      <c r="T18">
        <f t="shared" si="3"/>
        <v>1</v>
      </c>
    </row>
    <row r="19" spans="1:20" x14ac:dyDescent="0.35">
      <c r="A19" t="s">
        <v>71</v>
      </c>
      <c r="B19" s="1">
        <v>46086</v>
      </c>
      <c r="C19" s="1" t="str">
        <f t="shared" si="0"/>
        <v>Beta Stores</v>
      </c>
      <c r="D19" t="s">
        <v>24</v>
      </c>
      <c r="E19">
        <v>145000</v>
      </c>
      <c r="F19" t="s">
        <v>12</v>
      </c>
      <c r="G19" cm="1">
        <f t="array" ref="G19">E19 * _xlfn.XLOOKUP(B19&amp;F19, exchange_rates!$A:$A&amp;exchange_rates!$B:$B, exchange_rates!$C:$C)</f>
        <v>1711</v>
      </c>
      <c r="H19" t="str">
        <f t="shared" si="1"/>
        <v>chargeback</v>
      </c>
      <c r="I19" t="s">
        <v>72</v>
      </c>
      <c r="J19" cm="1">
        <f t="array" ref="J19">IF(TRIM(H19)="","",VALUE(_xlfn.REGEXEXTRACT(K19,"\d+")))</f>
        <v>86</v>
      </c>
      <c r="K19" t="s">
        <v>73</v>
      </c>
      <c r="L19" t="str">
        <f>IF(TRIM(M19)="", VLOOKUP(C19, merchant_master!$B:$E, 4, FALSE), UPPER(TRIM(M19)))</f>
        <v>APAC</v>
      </c>
      <c r="M19" t="s">
        <v>26</v>
      </c>
      <c r="N19" t="s">
        <v>53</v>
      </c>
      <c r="O19" t="s">
        <v>17</v>
      </c>
      <c r="P19" t="str">
        <f>INDEX(merchant_master!$A:$A, MATCH(C19, merchant_master!$B:$B, 0))</f>
        <v>M002</v>
      </c>
      <c r="Q19" t="str">
        <f>VLOOKUP(C19, merchant_master!$B:$E, 2, FALSE)</f>
        <v>Rohan Mehta</v>
      </c>
      <c r="R19" t="str">
        <f>VLOOKUP(C19, merchant_master!$B:$E, 3, FALSE)</f>
        <v>Electronics</v>
      </c>
      <c r="S19">
        <f t="shared" si="2"/>
        <v>0</v>
      </c>
      <c r="T19">
        <f t="shared" si="3"/>
        <v>1</v>
      </c>
    </row>
    <row r="20" spans="1:20" x14ac:dyDescent="0.35">
      <c r="A20" t="s">
        <v>74</v>
      </c>
      <c r="B20" s="1">
        <v>46086</v>
      </c>
      <c r="C20" s="1" t="str">
        <f t="shared" si="0"/>
        <v>Alpha Mart</v>
      </c>
      <c r="D20" t="s">
        <v>41</v>
      </c>
      <c r="E20">
        <v>260000</v>
      </c>
      <c r="F20" t="s">
        <v>12</v>
      </c>
      <c r="G20" cm="1">
        <f t="array" ref="G20">E20 * _xlfn.XLOOKUP(B20&amp;F20, exchange_rates!$A:$A&amp;exchange_rates!$B:$B, exchange_rates!$C:$C)</f>
        <v>3068</v>
      </c>
      <c r="H20" t="str">
        <f t="shared" si="1"/>
        <v>failed e05 timeout</v>
      </c>
      <c r="I20" t="s">
        <v>69</v>
      </c>
      <c r="J20" cm="1">
        <f t="array" ref="J20">IF(TRIM(H20)="","",VALUE(_xlfn.REGEXEXTRACT(K20,"\d+")))</f>
        <v>67</v>
      </c>
      <c r="K20" t="s">
        <v>75</v>
      </c>
      <c r="L20" t="str">
        <f>IF(TRIM(M20)="", VLOOKUP(C20, merchant_master!$B:$E, 4, FALSE), UPPER(TRIM(M20)))</f>
        <v>APAC</v>
      </c>
      <c r="M20" t="s">
        <v>32</v>
      </c>
      <c r="N20" t="s">
        <v>53</v>
      </c>
      <c r="O20" t="s">
        <v>39</v>
      </c>
      <c r="P20" t="str">
        <f>INDEX(merchant_master!$A:$A, MATCH(C20, merchant_master!$B:$B, 0))</f>
        <v>M001</v>
      </c>
      <c r="Q20" t="str">
        <f>VLOOKUP(C20, merchant_master!$B:$E, 2, FALSE)</f>
        <v>Aisha Khan</v>
      </c>
      <c r="R20" t="str">
        <f>VLOOKUP(C20, merchant_master!$B:$E, 3, FALSE)</f>
        <v>Grocery</v>
      </c>
      <c r="S20">
        <f t="shared" si="2"/>
        <v>0</v>
      </c>
      <c r="T20">
        <f t="shared" si="3"/>
        <v>0</v>
      </c>
    </row>
    <row r="21" spans="1:20" x14ac:dyDescent="0.35">
      <c r="A21" t="s">
        <v>76</v>
      </c>
      <c r="B21" s="1">
        <v>46086</v>
      </c>
      <c r="C21" s="1" t="str">
        <f t="shared" si="0"/>
        <v>Alpha Mart</v>
      </c>
      <c r="D21" t="s">
        <v>35</v>
      </c>
      <c r="E21">
        <v>520000</v>
      </c>
      <c r="F21" t="s">
        <v>12</v>
      </c>
      <c r="G21" cm="1">
        <f t="array" ref="G21">E21 * _xlfn.XLOOKUP(B21&amp;F21, exchange_rates!$A:$A&amp;exchange_rates!$B:$B, exchange_rates!$C:$C)</f>
        <v>6136</v>
      </c>
      <c r="H21" t="str">
        <f t="shared" si="1"/>
        <v>captured</v>
      </c>
      <c r="I21" t="s">
        <v>20</v>
      </c>
      <c r="J21" cm="1">
        <f t="array" ref="J21">IF(TRIM(H21)="","",VALUE(_xlfn.REGEXEXTRACT(K21,"\d+")))</f>
        <v>75</v>
      </c>
      <c r="K21">
        <v>75</v>
      </c>
      <c r="L21" t="str">
        <f>IF(TRIM(M21)="", VLOOKUP(C21, merchant_master!$B:$E, 4, FALSE), UPPER(TRIM(M21)))</f>
        <v>APAC</v>
      </c>
      <c r="M21" t="s">
        <v>15</v>
      </c>
      <c r="N21" t="s">
        <v>38</v>
      </c>
      <c r="O21" t="s">
        <v>17</v>
      </c>
      <c r="P21" t="str">
        <f>INDEX(merchant_master!$A:$A, MATCH(C21, merchant_master!$B:$B, 0))</f>
        <v>M001</v>
      </c>
      <c r="Q21" t="str">
        <f>VLOOKUP(C21, merchant_master!$B:$E, 2, FALSE)</f>
        <v>Aisha Khan</v>
      </c>
      <c r="R21" t="str">
        <f>VLOOKUP(C21, merchant_master!$B:$E, 3, FALSE)</f>
        <v>Grocery</v>
      </c>
      <c r="S21">
        <f t="shared" si="2"/>
        <v>1</v>
      </c>
      <c r="T21">
        <f t="shared" si="3"/>
        <v>1</v>
      </c>
    </row>
    <row r="22" spans="1:20" x14ac:dyDescent="0.35">
      <c r="A22" t="s">
        <v>77</v>
      </c>
      <c r="B22" s="1">
        <v>46087</v>
      </c>
      <c r="C22" s="1" t="str">
        <f t="shared" si="0"/>
        <v>Beta Stores</v>
      </c>
      <c r="D22" t="s">
        <v>78</v>
      </c>
      <c r="E22">
        <v>330000</v>
      </c>
      <c r="F22" t="s">
        <v>12</v>
      </c>
      <c r="G22" cm="1">
        <f t="array" ref="G22">E22 * _xlfn.XLOOKUP(B22&amp;F22, exchange_rates!$A:$A&amp;exchange_rates!$B:$B, exchange_rates!$C:$C)</f>
        <v>3927.0000000000005</v>
      </c>
      <c r="H22" t="str">
        <f t="shared" si="1"/>
        <v>captured</v>
      </c>
      <c r="I22" t="s">
        <v>55</v>
      </c>
      <c r="J22" cm="1">
        <f t="array" ref="J22">IF(TRIM(H22)="","",VALUE(_xlfn.REGEXEXTRACT(K22,"\d+")))</f>
        <v>63</v>
      </c>
      <c r="K22" t="s">
        <v>79</v>
      </c>
      <c r="L22" t="str">
        <f>IF(TRIM(M22)="", VLOOKUP(C22, merchant_master!$B:$E, 4, FALSE), UPPER(TRIM(M22)))</f>
        <v>APAC</v>
      </c>
      <c r="N22" t="s">
        <v>44</v>
      </c>
      <c r="O22" t="s">
        <v>22</v>
      </c>
      <c r="P22" t="str">
        <f>INDEX(merchant_master!$A:$A, MATCH(C22, merchant_master!$B:$B, 0))</f>
        <v>M002</v>
      </c>
      <c r="Q22" t="str">
        <f>VLOOKUP(C22, merchant_master!$B:$E, 2, FALSE)</f>
        <v>Rohan Mehta</v>
      </c>
      <c r="R22" t="str">
        <f>VLOOKUP(C22, merchant_master!$B:$E, 3, FALSE)</f>
        <v>Electronics</v>
      </c>
      <c r="S22">
        <f t="shared" si="2"/>
        <v>0</v>
      </c>
      <c r="T22">
        <f t="shared" si="3"/>
        <v>0</v>
      </c>
    </row>
    <row r="23" spans="1:20" x14ac:dyDescent="0.35">
      <c r="A23" t="s">
        <v>80</v>
      </c>
      <c r="B23" s="1">
        <v>46087</v>
      </c>
      <c r="C23" s="1" t="str">
        <f t="shared" si="0"/>
        <v>Alpha Mart</v>
      </c>
      <c r="D23" t="s">
        <v>19</v>
      </c>
      <c r="E23">
        <v>410000</v>
      </c>
      <c r="F23" t="s">
        <v>12</v>
      </c>
      <c r="G23" cm="1">
        <f t="array" ref="G23">E23 * _xlfn.XLOOKUP(B23&amp;F23, exchange_rates!$A:$A&amp;exchange_rates!$B:$B, exchange_rates!$C:$C)</f>
        <v>4879</v>
      </c>
      <c r="H23" t="str">
        <f t="shared" si="1"/>
        <v>captured</v>
      </c>
      <c r="I23" t="s">
        <v>55</v>
      </c>
      <c r="J23" cm="1">
        <f t="array" ref="J23">IF(TRIM(H23)="","",VALUE(_xlfn.REGEXEXTRACT(K23,"\d+")))</f>
        <v>60</v>
      </c>
      <c r="K23">
        <v>60</v>
      </c>
      <c r="L23" t="str">
        <f>IF(TRIM(M23)="", VLOOKUP(C23, merchant_master!$B:$E, 4, FALSE), UPPER(TRIM(M23)))</f>
        <v>APAC</v>
      </c>
      <c r="M23" t="s">
        <v>15</v>
      </c>
      <c r="N23" t="s">
        <v>46</v>
      </c>
      <c r="O23" t="s">
        <v>17</v>
      </c>
      <c r="P23" t="str">
        <f>INDEX(merchant_master!$A:$A, MATCH(C23, merchant_master!$B:$B, 0))</f>
        <v>M001</v>
      </c>
      <c r="Q23" t="str">
        <f>VLOOKUP(C23, merchant_master!$B:$E, 2, FALSE)</f>
        <v>Aisha Khan</v>
      </c>
      <c r="R23" t="str">
        <f>VLOOKUP(C23, merchant_master!$B:$E, 3, FALSE)</f>
        <v>Grocery</v>
      </c>
      <c r="S23">
        <f t="shared" si="2"/>
        <v>0</v>
      </c>
      <c r="T23">
        <f t="shared" si="3"/>
        <v>0</v>
      </c>
    </row>
    <row r="24" spans="1:20" x14ac:dyDescent="0.35">
      <c r="A24" t="s">
        <v>81</v>
      </c>
      <c r="B24" s="1">
        <v>46082</v>
      </c>
      <c r="C24" s="1" t="str">
        <f t="shared" si="0"/>
        <v>City Pharma</v>
      </c>
      <c r="D24" t="s">
        <v>82</v>
      </c>
      <c r="E24">
        <v>5200</v>
      </c>
      <c r="F24" t="s">
        <v>83</v>
      </c>
      <c r="G24" cm="1">
        <f t="array" ref="G24">E24 * _xlfn.XLOOKUP(B24&amp;F24, exchange_rates!$A:$A&amp;exchange_rates!$B:$B, exchange_rates!$C:$C)</f>
        <v>5616</v>
      </c>
      <c r="H24" t="str">
        <f t="shared" si="1"/>
        <v>captured</v>
      </c>
      <c r="I24" t="s">
        <v>20</v>
      </c>
      <c r="J24" cm="1">
        <f t="array" ref="J24">IF(TRIM(H24)="","",VALUE(_xlfn.REGEXEXTRACT(K24,"\d+")))</f>
        <v>42</v>
      </c>
      <c r="K24">
        <v>42</v>
      </c>
      <c r="L24" t="str">
        <f>IF(TRIM(M24)="", VLOOKUP(C24, merchant_master!$B:$E, 4, FALSE), UPPER(TRIM(M24)))</f>
        <v>EU</v>
      </c>
      <c r="M24" t="s">
        <v>84</v>
      </c>
      <c r="N24" t="s">
        <v>27</v>
      </c>
      <c r="O24" t="s">
        <v>22</v>
      </c>
      <c r="P24" t="str">
        <f>INDEX(merchant_master!$A:$A, MATCH(C24, merchant_master!$B:$B, 0))</f>
        <v>M003</v>
      </c>
      <c r="Q24" t="str">
        <f>VLOOKUP(C24, merchant_master!$B:$E, 2, FALSE)</f>
        <v>Elena Rossi</v>
      </c>
      <c r="R24" t="str">
        <f>VLOOKUP(C24, merchant_master!$B:$E, 3, FALSE)</f>
        <v>Healthcare</v>
      </c>
      <c r="S24">
        <f t="shared" si="2"/>
        <v>0</v>
      </c>
      <c r="T24">
        <f t="shared" si="3"/>
        <v>0</v>
      </c>
    </row>
    <row r="25" spans="1:20" x14ac:dyDescent="0.35">
      <c r="A25" t="s">
        <v>85</v>
      </c>
      <c r="B25" s="1">
        <v>46083</v>
      </c>
      <c r="C25" s="1" t="str">
        <f t="shared" si="0"/>
        <v>Eco Home</v>
      </c>
      <c r="D25" t="s">
        <v>86</v>
      </c>
      <c r="E25">
        <v>6100</v>
      </c>
      <c r="F25" t="s">
        <v>83</v>
      </c>
      <c r="G25" cm="1">
        <f t="array" ref="G25">E25 * _xlfn.XLOOKUP(B25&amp;F25, exchange_rates!$A:$A&amp;exchange_rates!$B:$B, exchange_rates!$C:$C)</f>
        <v>6649.0000000000009</v>
      </c>
      <c r="H25" t="str">
        <f t="shared" si="1"/>
        <v>chargeback</v>
      </c>
      <c r="I25" t="s">
        <v>72</v>
      </c>
      <c r="J25" cm="1">
        <f t="array" ref="J25">IF(TRIM(H25)="","",VALUE(_xlfn.REGEXEXTRACT(K25,"\d+")))</f>
        <v>65</v>
      </c>
      <c r="K25" t="s">
        <v>87</v>
      </c>
      <c r="L25" t="str">
        <f>IF(TRIM(M25)="", VLOOKUP(C25, merchant_master!$B:$E, 4, FALSE), UPPER(TRIM(M25)))</f>
        <v>EU</v>
      </c>
      <c r="M25" t="s">
        <v>88</v>
      </c>
      <c r="N25" t="s">
        <v>33</v>
      </c>
      <c r="O25" t="s">
        <v>22</v>
      </c>
      <c r="P25" t="str">
        <f>INDEX(merchant_master!$A:$A, MATCH(C25, merchant_master!$B:$B, 0))</f>
        <v>M005</v>
      </c>
      <c r="Q25" t="str">
        <f>VLOOKUP(C25, merchant_master!$B:$E, 2, FALSE)</f>
        <v>Nina Weber</v>
      </c>
      <c r="R25" t="str">
        <f>VLOOKUP(C25, merchant_master!$B:$E, 3, FALSE)</f>
        <v>Home</v>
      </c>
      <c r="S25">
        <f t="shared" si="2"/>
        <v>1</v>
      </c>
      <c r="T25">
        <f t="shared" si="3"/>
        <v>1</v>
      </c>
    </row>
    <row r="26" spans="1:20" x14ac:dyDescent="0.35">
      <c r="A26" t="s">
        <v>89</v>
      </c>
      <c r="B26" s="1">
        <v>46084</v>
      </c>
      <c r="C26" s="1" t="str">
        <f t="shared" si="0"/>
        <v>City Pharma</v>
      </c>
      <c r="D26" t="s">
        <v>82</v>
      </c>
      <c r="E26">
        <v>2800</v>
      </c>
      <c r="F26" t="s">
        <v>83</v>
      </c>
      <c r="G26" cm="1">
        <f t="array" ref="G26">E26 * _xlfn.XLOOKUP(B26&amp;F26, exchange_rates!$A:$A&amp;exchange_rates!$B:$B, exchange_rates!$C:$C)</f>
        <v>3024</v>
      </c>
      <c r="H26" t="str">
        <f t="shared" si="1"/>
        <v>captured</v>
      </c>
      <c r="I26" t="s">
        <v>55</v>
      </c>
      <c r="J26" cm="1">
        <f t="array" ref="J26">IF(TRIM(H26)="","",VALUE(_xlfn.REGEXEXTRACT(K26,"\d+")))</f>
        <v>38</v>
      </c>
      <c r="K26">
        <v>38</v>
      </c>
      <c r="L26" t="str">
        <f>IF(TRIM(M26)="", VLOOKUP(C26, merchant_master!$B:$E, 4, FALSE), UPPER(TRIM(M26)))</f>
        <v>EU</v>
      </c>
      <c r="M26" t="s">
        <v>90</v>
      </c>
      <c r="N26" t="s">
        <v>38</v>
      </c>
      <c r="O26" t="s">
        <v>39</v>
      </c>
      <c r="P26" t="str">
        <f>INDEX(merchant_master!$A:$A, MATCH(C26, merchant_master!$B:$B, 0))</f>
        <v>M003</v>
      </c>
      <c r="Q26" t="str">
        <f>VLOOKUP(C26, merchant_master!$B:$E, 2, FALSE)</f>
        <v>Elena Rossi</v>
      </c>
      <c r="R26" t="str">
        <f>VLOOKUP(C26, merchant_master!$B:$E, 3, FALSE)</f>
        <v>Healthcare</v>
      </c>
      <c r="S26">
        <f t="shared" si="2"/>
        <v>0</v>
      </c>
      <c r="T26">
        <f t="shared" si="3"/>
        <v>0</v>
      </c>
    </row>
    <row r="27" spans="1:20" x14ac:dyDescent="0.35">
      <c r="A27" t="s">
        <v>91</v>
      </c>
      <c r="B27" s="1">
        <v>46086</v>
      </c>
      <c r="C27" s="1" t="str">
        <f t="shared" si="0"/>
        <v>Eco Home</v>
      </c>
      <c r="D27" t="s">
        <v>86</v>
      </c>
      <c r="E27">
        <v>3300</v>
      </c>
      <c r="F27" t="s">
        <v>83</v>
      </c>
      <c r="G27" cm="1">
        <f t="array" ref="G27">E27 * _xlfn.XLOOKUP(B27&amp;F27, exchange_rates!$A:$A&amp;exchange_rates!$B:$B, exchange_rates!$C:$C)</f>
        <v>3597.0000000000005</v>
      </c>
      <c r="H27" t="str">
        <f t="shared" si="1"/>
        <v>failed e05 timeout</v>
      </c>
      <c r="I27" t="s">
        <v>69</v>
      </c>
      <c r="J27" cm="1">
        <f t="array" ref="J27">IF(TRIM(H27)="","",VALUE(_xlfn.REGEXEXTRACT(K27,"\d+")))</f>
        <v>44</v>
      </c>
      <c r="K27">
        <v>44</v>
      </c>
      <c r="L27" t="str">
        <f>IF(TRIM(M27)="", VLOOKUP(C27, merchant_master!$B:$E, 4, FALSE), UPPER(TRIM(M27)))</f>
        <v>EU</v>
      </c>
      <c r="M27" t="s">
        <v>84</v>
      </c>
      <c r="N27" t="s">
        <v>44</v>
      </c>
      <c r="O27" t="s">
        <v>28</v>
      </c>
      <c r="P27" t="str">
        <f>INDEX(merchant_master!$A:$A, MATCH(C27, merchant_master!$B:$B, 0))</f>
        <v>M005</v>
      </c>
      <c r="Q27" t="str">
        <f>VLOOKUP(C27, merchant_master!$B:$E, 2, FALSE)</f>
        <v>Nina Weber</v>
      </c>
      <c r="R27" t="str">
        <f>VLOOKUP(C27, merchant_master!$B:$E, 3, FALSE)</f>
        <v>Home</v>
      </c>
      <c r="S27">
        <f t="shared" si="2"/>
        <v>0</v>
      </c>
      <c r="T27">
        <f t="shared" si="3"/>
        <v>0</v>
      </c>
    </row>
    <row r="28" spans="1:20" x14ac:dyDescent="0.35">
      <c r="A28" t="s">
        <v>92</v>
      </c>
      <c r="B28" s="1">
        <v>46082</v>
      </c>
      <c r="C28" s="1" t="str">
        <f t="shared" si="0"/>
        <v>Delta Travels</v>
      </c>
      <c r="D28" t="s">
        <v>93</v>
      </c>
      <c r="E28">
        <v>7200</v>
      </c>
      <c r="F28" t="s">
        <v>94</v>
      </c>
      <c r="G28" cm="1">
        <f t="array" ref="G28">E28 * _xlfn.XLOOKUP(B28&amp;F28, exchange_rates!$A:$A&amp;exchange_rates!$B:$B, exchange_rates!$C:$C)</f>
        <v>7200</v>
      </c>
      <c r="H28" t="str">
        <f t="shared" si="1"/>
        <v>captured</v>
      </c>
      <c r="I28" t="s">
        <v>55</v>
      </c>
      <c r="J28" cm="1">
        <f t="array" ref="J28">IF(TRIM(H28)="","",VALUE(_xlfn.REGEXEXTRACT(K28,"\d+")))</f>
        <v>49</v>
      </c>
      <c r="K28">
        <v>49</v>
      </c>
      <c r="L28" t="str">
        <f>IF(TRIM(M28)="", VLOOKUP(C28, merchant_master!$B:$E, 4, FALSE), UPPER(TRIM(M28)))</f>
        <v>US</v>
      </c>
      <c r="M28" t="s">
        <v>95</v>
      </c>
      <c r="N28" t="s">
        <v>46</v>
      </c>
      <c r="O28" t="s">
        <v>22</v>
      </c>
      <c r="P28" t="str">
        <f>INDEX(merchant_master!$A:$A, MATCH(C28, merchant_master!$B:$B, 0))</f>
        <v>M004</v>
      </c>
      <c r="Q28" t="str">
        <f>VLOOKUP(C28, merchant_master!$B:$E, 2, FALSE)</f>
        <v>Marcus Lee</v>
      </c>
      <c r="R28" t="str">
        <f>VLOOKUP(C28, merchant_master!$B:$E, 3, FALSE)</f>
        <v>Travel</v>
      </c>
      <c r="S28">
        <f t="shared" si="2"/>
        <v>1</v>
      </c>
      <c r="T28">
        <f t="shared" si="3"/>
        <v>0</v>
      </c>
    </row>
    <row r="29" spans="1:20" x14ac:dyDescent="0.35">
      <c r="A29" t="s">
        <v>96</v>
      </c>
      <c r="B29" s="1">
        <v>46083</v>
      </c>
      <c r="C29" s="1" t="str">
        <f t="shared" si="0"/>
        <v>Delta Travels</v>
      </c>
      <c r="D29" t="s">
        <v>97</v>
      </c>
      <c r="E29">
        <v>3100</v>
      </c>
      <c r="F29" t="s">
        <v>94</v>
      </c>
      <c r="G29" cm="1">
        <f t="array" ref="G29">E29 * _xlfn.XLOOKUP(B29&amp;F29, exchange_rates!$A:$A&amp;exchange_rates!$B:$B, exchange_rates!$C:$C)</f>
        <v>3100</v>
      </c>
      <c r="H29" t="str">
        <f t="shared" si="1"/>
        <v>captured</v>
      </c>
      <c r="I29" t="s">
        <v>25</v>
      </c>
      <c r="J29" cm="1">
        <f t="array" ref="J29">IF(TRIM(H29)="","",VALUE(_xlfn.REGEXEXTRACT(K29,"\d+")))</f>
        <v>41</v>
      </c>
      <c r="K29" t="s">
        <v>98</v>
      </c>
      <c r="L29" t="str">
        <f>IF(TRIM(M29)="", VLOOKUP(C29, merchant_master!$B:$E, 4, FALSE), UPPER(TRIM(M29)))</f>
        <v>US</v>
      </c>
      <c r="M29" t="s">
        <v>99</v>
      </c>
      <c r="N29" t="s">
        <v>53</v>
      </c>
      <c r="O29" t="s">
        <v>22</v>
      </c>
      <c r="P29" t="str">
        <f>INDEX(merchant_master!$A:$A, MATCH(C29, merchant_master!$B:$B, 0))</f>
        <v>M004</v>
      </c>
      <c r="Q29" t="str">
        <f>VLOOKUP(C29, merchant_master!$B:$E, 2, FALSE)</f>
        <v>Marcus Lee</v>
      </c>
      <c r="R29" t="str">
        <f>VLOOKUP(C29, merchant_master!$B:$E, 3, FALSE)</f>
        <v>Travel</v>
      </c>
      <c r="S29">
        <f t="shared" si="2"/>
        <v>0</v>
      </c>
      <c r="T29">
        <f t="shared" si="3"/>
        <v>0</v>
      </c>
    </row>
    <row r="30" spans="1:20" x14ac:dyDescent="0.35">
      <c r="A30" t="s">
        <v>100</v>
      </c>
      <c r="B30" s="1">
        <v>46085</v>
      </c>
      <c r="C30" s="1" t="str">
        <f t="shared" si="0"/>
        <v>Delta Travels</v>
      </c>
      <c r="D30" t="s">
        <v>101</v>
      </c>
      <c r="E30">
        <v>2500</v>
      </c>
      <c r="F30" t="s">
        <v>94</v>
      </c>
      <c r="G30" cm="1">
        <f t="array" ref="G30">E30 * _xlfn.XLOOKUP(B30&amp;F30, exchange_rates!$A:$A&amp;exchange_rates!$B:$B, exchange_rates!$C:$C)</f>
        <v>2500</v>
      </c>
      <c r="H30" t="str">
        <f t="shared" si="1"/>
        <v>chargeback</v>
      </c>
      <c r="I30" t="s">
        <v>72</v>
      </c>
      <c r="J30" cm="1">
        <f t="array" ref="J30">IF(TRIM(H30)="","",VALUE(_xlfn.REGEXEXTRACT(K30,"\d+")))</f>
        <v>58</v>
      </c>
      <c r="K30" t="s">
        <v>102</v>
      </c>
      <c r="L30" t="str">
        <f>IF(TRIM(M30)="", VLOOKUP(C30, merchant_master!$B:$E, 4, FALSE), UPPER(TRIM(M30)))</f>
        <v>US</v>
      </c>
      <c r="M30" t="s">
        <v>99</v>
      </c>
      <c r="N30" t="s">
        <v>57</v>
      </c>
      <c r="O30" t="s">
        <v>39</v>
      </c>
      <c r="P30" t="str">
        <f>INDEX(merchant_master!$A:$A, MATCH(C30, merchant_master!$B:$B, 0))</f>
        <v>M004</v>
      </c>
      <c r="Q30" t="str">
        <f>VLOOKUP(C30, merchant_master!$B:$E, 2, FALSE)</f>
        <v>Marcus Lee</v>
      </c>
      <c r="R30" t="str">
        <f>VLOOKUP(C30, merchant_master!$B:$E, 3, FALSE)</f>
        <v>Travel</v>
      </c>
      <c r="S30">
        <f t="shared" si="2"/>
        <v>0</v>
      </c>
      <c r="T30">
        <f t="shared" si="3"/>
        <v>1</v>
      </c>
    </row>
    <row r="31" spans="1:20" x14ac:dyDescent="0.35">
      <c r="A31" t="s">
        <v>103</v>
      </c>
      <c r="B31" s="1">
        <v>46087</v>
      </c>
      <c r="C31" s="1" t="str">
        <f t="shared" si="0"/>
        <v>Delta Travels</v>
      </c>
      <c r="D31" t="s">
        <v>93</v>
      </c>
      <c r="E31">
        <v>1800</v>
      </c>
      <c r="F31" t="s">
        <v>94</v>
      </c>
      <c r="G31" cm="1">
        <f t="array" ref="G31">E31 * _xlfn.XLOOKUP(B31&amp;F31, exchange_rates!$A:$A&amp;exchange_rates!$B:$B, exchange_rates!$C:$C)</f>
        <v>1800</v>
      </c>
      <c r="H31" t="str">
        <f t="shared" si="1"/>
        <v>failed e05 timeout</v>
      </c>
      <c r="I31" t="s">
        <v>69</v>
      </c>
      <c r="J31" cm="1">
        <f t="array" ref="J31">IF(TRIM(H31)="","",VALUE(_xlfn.REGEXEXTRACT(K31,"\d+")))</f>
        <v>47</v>
      </c>
      <c r="K31" t="s">
        <v>104</v>
      </c>
      <c r="L31" t="str">
        <f>IF(TRIM(M31)="", VLOOKUP(C31, merchant_master!$B:$E, 4, FALSE), UPPER(TRIM(M31)))</f>
        <v>US</v>
      </c>
      <c r="M31" t="s">
        <v>99</v>
      </c>
      <c r="N31" t="s">
        <v>60</v>
      </c>
      <c r="O31" t="s">
        <v>17</v>
      </c>
      <c r="P31" t="str">
        <f>INDEX(merchant_master!$A:$A, MATCH(C31, merchant_master!$B:$B, 0))</f>
        <v>M004</v>
      </c>
      <c r="Q31" t="str">
        <f>VLOOKUP(C31, merchant_master!$B:$E, 2, FALSE)</f>
        <v>Marcus Lee</v>
      </c>
      <c r="R31" t="str">
        <f>VLOOKUP(C31, merchant_master!$B:$E, 3, FALSE)</f>
        <v>Travel</v>
      </c>
      <c r="S31">
        <f t="shared" si="2"/>
        <v>0</v>
      </c>
      <c r="T31">
        <f t="shared" si="3"/>
        <v>0</v>
      </c>
    </row>
  </sheetData>
  <autoFilter ref="A1:O31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E719A-08BB-4891-9291-710EB6CA8D5F}">
  <dimension ref="A1:E6"/>
  <sheetViews>
    <sheetView workbookViewId="0">
      <selection activeCell="B2" sqref="B2"/>
    </sheetView>
  </sheetViews>
  <sheetFormatPr defaultRowHeight="14.5" x14ac:dyDescent="0.35"/>
  <cols>
    <col min="2" max="2" width="14.6328125" bestFit="1" customWidth="1"/>
  </cols>
  <sheetData>
    <row r="1" spans="1:5" x14ac:dyDescent="0.35">
      <c r="A1" t="s">
        <v>105</v>
      </c>
      <c r="B1" t="s">
        <v>2</v>
      </c>
      <c r="C1" t="s">
        <v>106</v>
      </c>
      <c r="D1" t="s">
        <v>107</v>
      </c>
      <c r="E1" t="s">
        <v>108</v>
      </c>
    </row>
    <row r="2" spans="1:5" x14ac:dyDescent="0.35">
      <c r="A2" t="s">
        <v>109</v>
      </c>
      <c r="B2" t="s">
        <v>35</v>
      </c>
      <c r="C2" t="s">
        <v>110</v>
      </c>
      <c r="D2" t="s">
        <v>111</v>
      </c>
      <c r="E2" t="s">
        <v>15</v>
      </c>
    </row>
    <row r="3" spans="1:5" x14ac:dyDescent="0.35">
      <c r="A3" t="s">
        <v>112</v>
      </c>
      <c r="B3" t="s">
        <v>49</v>
      </c>
      <c r="C3" t="s">
        <v>113</v>
      </c>
      <c r="D3" t="s">
        <v>114</v>
      </c>
      <c r="E3" t="s">
        <v>15</v>
      </c>
    </row>
    <row r="4" spans="1:5" x14ac:dyDescent="0.35">
      <c r="A4" t="s">
        <v>115</v>
      </c>
      <c r="B4" t="s">
        <v>82</v>
      </c>
      <c r="C4" t="s">
        <v>116</v>
      </c>
      <c r="D4" t="s">
        <v>117</v>
      </c>
      <c r="E4" t="s">
        <v>88</v>
      </c>
    </row>
    <row r="5" spans="1:5" x14ac:dyDescent="0.35">
      <c r="A5" t="s">
        <v>118</v>
      </c>
      <c r="B5" t="s">
        <v>97</v>
      </c>
      <c r="C5" t="s">
        <v>119</v>
      </c>
      <c r="D5" t="s">
        <v>120</v>
      </c>
      <c r="E5" t="s">
        <v>99</v>
      </c>
    </row>
    <row r="6" spans="1:5" x14ac:dyDescent="0.35">
      <c r="A6" t="s">
        <v>121</v>
      </c>
      <c r="B6" t="s">
        <v>86</v>
      </c>
      <c r="C6" t="s">
        <v>122</v>
      </c>
      <c r="D6" t="s">
        <v>123</v>
      </c>
      <c r="E6" t="s">
        <v>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92036-700C-437B-A63A-BAA34121CE5B}">
  <dimension ref="A1:C19"/>
  <sheetViews>
    <sheetView workbookViewId="0">
      <selection activeCell="G16" sqref="G16"/>
    </sheetView>
  </sheetViews>
  <sheetFormatPr defaultRowHeight="14.5" x14ac:dyDescent="0.35"/>
  <cols>
    <col min="1" max="1" width="10.08984375" bestFit="1" customWidth="1"/>
  </cols>
  <sheetData>
    <row r="1" spans="1:3" x14ac:dyDescent="0.35">
      <c r="A1" t="s">
        <v>124</v>
      </c>
      <c r="B1" t="s">
        <v>4</v>
      </c>
      <c r="C1" t="s">
        <v>125</v>
      </c>
    </row>
    <row r="2" spans="1:3" x14ac:dyDescent="0.35">
      <c r="A2" s="1">
        <v>46082</v>
      </c>
      <c r="B2" t="s">
        <v>12</v>
      </c>
      <c r="C2">
        <v>1.1900000000000001E-2</v>
      </c>
    </row>
    <row r="3" spans="1:3" x14ac:dyDescent="0.35">
      <c r="A3" s="1">
        <v>46082</v>
      </c>
      <c r="B3" t="s">
        <v>83</v>
      </c>
      <c r="C3">
        <v>1.08</v>
      </c>
    </row>
    <row r="4" spans="1:3" x14ac:dyDescent="0.35">
      <c r="A4" s="1">
        <v>46082</v>
      </c>
      <c r="B4" t="s">
        <v>94</v>
      </c>
      <c r="C4">
        <v>1</v>
      </c>
    </row>
    <row r="5" spans="1:3" x14ac:dyDescent="0.35">
      <c r="A5" s="1">
        <v>46083</v>
      </c>
      <c r="B5" t="s">
        <v>12</v>
      </c>
      <c r="C5">
        <v>1.2E-2</v>
      </c>
    </row>
    <row r="6" spans="1:3" x14ac:dyDescent="0.35">
      <c r="A6" s="1">
        <v>46083</v>
      </c>
      <c r="B6" t="s">
        <v>83</v>
      </c>
      <c r="C6">
        <v>1.0900000000000001</v>
      </c>
    </row>
    <row r="7" spans="1:3" x14ac:dyDescent="0.35">
      <c r="A7" s="1">
        <v>46083</v>
      </c>
      <c r="B7" t="s">
        <v>94</v>
      </c>
      <c r="C7">
        <v>1</v>
      </c>
    </row>
    <row r="8" spans="1:3" x14ac:dyDescent="0.35">
      <c r="A8" s="1">
        <v>46084</v>
      </c>
      <c r="B8" t="s">
        <v>12</v>
      </c>
      <c r="C8">
        <v>1.21E-2</v>
      </c>
    </row>
    <row r="9" spans="1:3" x14ac:dyDescent="0.35">
      <c r="A9" s="1">
        <v>46084</v>
      </c>
      <c r="B9" t="s">
        <v>83</v>
      </c>
      <c r="C9">
        <v>1.08</v>
      </c>
    </row>
    <row r="10" spans="1:3" x14ac:dyDescent="0.35">
      <c r="A10" s="1">
        <v>46084</v>
      </c>
      <c r="B10" t="s">
        <v>94</v>
      </c>
      <c r="C10">
        <v>1</v>
      </c>
    </row>
    <row r="11" spans="1:3" x14ac:dyDescent="0.35">
      <c r="A11" s="1">
        <v>46085</v>
      </c>
      <c r="B11" t="s">
        <v>12</v>
      </c>
      <c r="C11">
        <v>1.2E-2</v>
      </c>
    </row>
    <row r="12" spans="1:3" x14ac:dyDescent="0.35">
      <c r="A12" s="1">
        <v>46085</v>
      </c>
      <c r="B12" t="s">
        <v>83</v>
      </c>
      <c r="C12">
        <v>1.07</v>
      </c>
    </row>
    <row r="13" spans="1:3" x14ac:dyDescent="0.35">
      <c r="A13" s="1">
        <v>46085</v>
      </c>
      <c r="B13" t="s">
        <v>94</v>
      </c>
      <c r="C13">
        <v>1</v>
      </c>
    </row>
    <row r="14" spans="1:3" x14ac:dyDescent="0.35">
      <c r="A14" s="1">
        <v>46086</v>
      </c>
      <c r="B14" t="s">
        <v>12</v>
      </c>
      <c r="C14">
        <v>1.18E-2</v>
      </c>
    </row>
    <row r="15" spans="1:3" x14ac:dyDescent="0.35">
      <c r="A15" s="1">
        <v>46086</v>
      </c>
      <c r="B15" t="s">
        <v>83</v>
      </c>
      <c r="C15">
        <v>1.0900000000000001</v>
      </c>
    </row>
    <row r="16" spans="1:3" x14ac:dyDescent="0.35">
      <c r="A16" s="1">
        <v>46086</v>
      </c>
      <c r="B16" t="s">
        <v>94</v>
      </c>
      <c r="C16">
        <v>1</v>
      </c>
    </row>
    <row r="17" spans="1:3" x14ac:dyDescent="0.35">
      <c r="A17" s="1">
        <v>46087</v>
      </c>
      <c r="B17" t="s">
        <v>12</v>
      </c>
      <c r="C17">
        <v>1.1900000000000001E-2</v>
      </c>
    </row>
    <row r="18" spans="1:3" x14ac:dyDescent="0.35">
      <c r="A18" s="1">
        <v>46087</v>
      </c>
      <c r="B18" t="s">
        <v>83</v>
      </c>
      <c r="C18">
        <v>1.08</v>
      </c>
    </row>
    <row r="19" spans="1:3" x14ac:dyDescent="0.35">
      <c r="A19" s="1">
        <v>46087</v>
      </c>
      <c r="B19" t="s">
        <v>94</v>
      </c>
      <c r="C19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transactions_raw</vt:lpstr>
      <vt:lpstr>merchant_master</vt:lpstr>
      <vt:lpstr>exchange_rates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Sharanya Mohan</dc:creator>
  <cp:lastModifiedBy>Sharanya Mohan</cp:lastModifiedBy>
  <dcterms:created xsi:type="dcterms:W3CDTF">2015-06-05T18:17:20Z</dcterms:created>
  <dcterms:modified xsi:type="dcterms:W3CDTF">2026-05-03T14:48:03Z</dcterms:modified>
</cp:coreProperties>
</file>